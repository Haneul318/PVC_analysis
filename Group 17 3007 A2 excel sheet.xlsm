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1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09f259a6ba188da/デスクトップ/"/>
    </mc:Choice>
  </mc:AlternateContent>
  <xr:revisionPtr revIDLastSave="0" documentId="8_{76BF7076-278B-4C96-8937-4E0A7CEFD1C6}" xr6:coauthVersionLast="47" xr6:coauthVersionMax="47" xr10:uidLastSave="{00000000-0000-0000-0000-000000000000}"/>
  <bookViews>
    <workbookView xWindow="0" yWindow="720" windowWidth="29400" windowHeight="18400" firstSheet="1" activeTab="1" xr2:uid="{58806228-6F7A-4A4B-B303-99368BD1F1B7}"/>
  </bookViews>
  <sheets>
    <sheet name="Instructions" sheetId="19" r:id="rId1"/>
    <sheet name="Analysis Tool" sheetId="21" r:id="rId2"/>
    <sheet name="Sample" sheetId="20" r:id="rId3"/>
  </sheets>
  <definedNames>
    <definedName name="My_Rate" localSheetId="1">'Analysis Tool'!$B$31</definedName>
    <definedName name="My_Rate" localSheetId="2">Sample!$B$31</definedName>
    <definedName name="My_Rate">#REF!</definedName>
    <definedName name="_xlnm.Print_Area" localSheetId="1">'Analysis Tool'!$A$26:$O$70</definedName>
    <definedName name="_xlnm.Print_Area" localSheetId="2">Sample!$A$26:$O$70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0" i="21" l="1"/>
  <c r="B79" i="21"/>
  <c r="A79" i="21"/>
  <c r="D43" i="21"/>
  <c r="C43" i="21"/>
  <c r="A43" i="21"/>
  <c r="A86" i="21" s="1"/>
  <c r="D42" i="21"/>
  <c r="C42" i="21"/>
  <c r="A42" i="21"/>
  <c r="T42" i="21" s="1"/>
  <c r="D41" i="21"/>
  <c r="C41" i="21"/>
  <c r="A41" i="21"/>
  <c r="T41" i="21" s="1"/>
  <c r="D40" i="21"/>
  <c r="C40" i="21"/>
  <c r="A40" i="21"/>
  <c r="T40" i="21" s="1"/>
  <c r="D39" i="21"/>
  <c r="C39" i="21"/>
  <c r="A39" i="21"/>
  <c r="T39" i="21" s="1"/>
  <c r="D38" i="21"/>
  <c r="C38" i="21"/>
  <c r="A38" i="21"/>
  <c r="T38" i="21" s="1"/>
  <c r="D37" i="21"/>
  <c r="C37" i="21"/>
  <c r="A37" i="21"/>
  <c r="T37" i="21" s="1"/>
  <c r="W35" i="21"/>
  <c r="K35" i="21"/>
  <c r="AA3" i="21" s="1"/>
  <c r="AA1" i="21" s="1"/>
  <c r="J35" i="21"/>
  <c r="J36" i="21" s="1"/>
  <c r="Z4" i="21" s="1"/>
  <c r="I35" i="21"/>
  <c r="I36" i="21" s="1"/>
  <c r="Y4" i="21" s="1"/>
  <c r="H35" i="21"/>
  <c r="H36" i="21" s="1"/>
  <c r="X4" i="21" s="1"/>
  <c r="G35" i="21"/>
  <c r="G36" i="21" s="1"/>
  <c r="W4" i="21" s="1"/>
  <c r="F35" i="21"/>
  <c r="F36" i="21" s="1"/>
  <c r="V4" i="21" s="1"/>
  <c r="E35" i="21"/>
  <c r="E36" i="21" s="1"/>
  <c r="V34" i="21"/>
  <c r="V33" i="21"/>
  <c r="V32" i="21"/>
  <c r="V31" i="21"/>
  <c r="B31" i="21"/>
  <c r="C80" i="21" s="1"/>
  <c r="V30" i="21"/>
  <c r="B30" i="21"/>
  <c r="V29" i="21"/>
  <c r="B29" i="21"/>
  <c r="V28" i="21"/>
  <c r="B28" i="21"/>
  <c r="U20" i="21"/>
  <c r="V20" i="21" s="1"/>
  <c r="T20" i="21"/>
  <c r="U19" i="21"/>
  <c r="V19" i="21" s="1"/>
  <c r="T19" i="21"/>
  <c r="U18" i="21"/>
  <c r="V18" i="21" s="1"/>
  <c r="T18" i="21"/>
  <c r="U17" i="21"/>
  <c r="V17" i="21" s="1"/>
  <c r="T17" i="21"/>
  <c r="U16" i="21"/>
  <c r="V16" i="21" s="1"/>
  <c r="T16" i="21"/>
  <c r="U15" i="21"/>
  <c r="V15" i="21" s="1"/>
  <c r="T15" i="21"/>
  <c r="U14" i="21"/>
  <c r="V14" i="21" s="1"/>
  <c r="T14" i="21"/>
  <c r="T8" i="21"/>
  <c r="AB8" i="21" s="1"/>
  <c r="AA7" i="21"/>
  <c r="B79" i="20"/>
  <c r="A79" i="20"/>
  <c r="D43" i="20"/>
  <c r="C43" i="20"/>
  <c r="A43" i="20"/>
  <c r="D42" i="20"/>
  <c r="C42" i="20"/>
  <c r="A42" i="20"/>
  <c r="T10" i="20" s="1"/>
  <c r="AB10" i="20" s="1"/>
  <c r="D41" i="20"/>
  <c r="C41" i="20"/>
  <c r="A41" i="20"/>
  <c r="D40" i="20"/>
  <c r="C40" i="20"/>
  <c r="A40" i="20"/>
  <c r="A83" i="20" s="1"/>
  <c r="D39" i="20"/>
  <c r="C39" i="20"/>
  <c r="A39" i="20"/>
  <c r="T39" i="20" s="1"/>
  <c r="D38" i="20"/>
  <c r="C38" i="20"/>
  <c r="A38" i="20"/>
  <c r="T6" i="20" s="1"/>
  <c r="AB6" i="20" s="1"/>
  <c r="D37" i="20"/>
  <c r="C37" i="20"/>
  <c r="A37" i="20"/>
  <c r="A80" i="20" s="1"/>
  <c r="W35" i="20"/>
  <c r="K35" i="20"/>
  <c r="K36" i="20" s="1"/>
  <c r="AA4" i="20" s="1"/>
  <c r="J35" i="20"/>
  <c r="J36" i="20" s="1"/>
  <c r="Z4" i="20" s="1"/>
  <c r="I35" i="20"/>
  <c r="I36" i="20" s="1"/>
  <c r="Y4" i="20" s="1"/>
  <c r="H35" i="20"/>
  <c r="H36" i="20" s="1"/>
  <c r="X4" i="20" s="1"/>
  <c r="G35" i="20"/>
  <c r="G36" i="20" s="1"/>
  <c r="W4" i="20" s="1"/>
  <c r="F35" i="20"/>
  <c r="F36" i="20" s="1"/>
  <c r="V4" i="20" s="1"/>
  <c r="E35" i="20"/>
  <c r="E36" i="20" s="1"/>
  <c r="V34" i="20"/>
  <c r="V33" i="20"/>
  <c r="V32" i="20"/>
  <c r="V31" i="20"/>
  <c r="B31" i="20"/>
  <c r="C82" i="20" s="1"/>
  <c r="V30" i="20"/>
  <c r="B30" i="20"/>
  <c r="V29" i="20"/>
  <c r="B29" i="20"/>
  <c r="V28" i="20"/>
  <c r="B28" i="20"/>
  <c r="U20" i="20"/>
  <c r="V20" i="20" s="1"/>
  <c r="T20" i="20"/>
  <c r="U19" i="20"/>
  <c r="V19" i="20" s="1"/>
  <c r="T19" i="20"/>
  <c r="U18" i="20"/>
  <c r="V18" i="20" s="1"/>
  <c r="T18" i="20"/>
  <c r="U17" i="20"/>
  <c r="V17" i="20" s="1"/>
  <c r="T17" i="20"/>
  <c r="U16" i="20"/>
  <c r="V16" i="20" s="1"/>
  <c r="T16" i="20"/>
  <c r="U15" i="20"/>
  <c r="V15" i="20" s="1"/>
  <c r="T15" i="20"/>
  <c r="U14" i="20"/>
  <c r="V14" i="20" s="1"/>
  <c r="T14" i="20"/>
  <c r="T11" i="20"/>
  <c r="AB11" i="20" s="1"/>
  <c r="AA7" i="20"/>
  <c r="W3" i="21" l="1"/>
  <c r="W1" i="21" s="1"/>
  <c r="V3" i="21"/>
  <c r="V1" i="21" s="1"/>
  <c r="U3" i="21"/>
  <c r="U1" i="21" s="1"/>
  <c r="T9" i="21"/>
  <c r="AB9" i="21" s="1"/>
  <c r="T7" i="21"/>
  <c r="AB7" i="21" s="1"/>
  <c r="AE7" i="21" s="1"/>
  <c r="T10" i="21"/>
  <c r="AB10" i="21" s="1"/>
  <c r="T11" i="21"/>
  <c r="AB11" i="21" s="1"/>
  <c r="T5" i="21"/>
  <c r="AB5" i="21" s="1"/>
  <c r="M23" i="21"/>
  <c r="Z3" i="21"/>
  <c r="Z1" i="21" s="1"/>
  <c r="F22" i="21"/>
  <c r="A80" i="21"/>
  <c r="A81" i="21"/>
  <c r="T6" i="21"/>
  <c r="AB6" i="21" s="1"/>
  <c r="A83" i="21"/>
  <c r="U4" i="21"/>
  <c r="M24" i="21"/>
  <c r="X3" i="21"/>
  <c r="X1" i="21" s="1"/>
  <c r="S36" i="21"/>
  <c r="A84" i="21"/>
  <c r="C86" i="21"/>
  <c r="Y3" i="21"/>
  <c r="Y1" i="21" s="1"/>
  <c r="C81" i="21"/>
  <c r="A82" i="21"/>
  <c r="C84" i="21"/>
  <c r="K36" i="21"/>
  <c r="C83" i="21"/>
  <c r="C79" i="21"/>
  <c r="A85" i="21"/>
  <c r="C82" i="21"/>
  <c r="C85" i="21"/>
  <c r="T43" i="21"/>
  <c r="C80" i="20"/>
  <c r="C81" i="20"/>
  <c r="C79" i="20"/>
  <c r="U3" i="20"/>
  <c r="U1" i="20" s="1"/>
  <c r="C84" i="20"/>
  <c r="C85" i="20"/>
  <c r="C86" i="20"/>
  <c r="AA3" i="20"/>
  <c r="AA1" i="20" s="1"/>
  <c r="Y3" i="20"/>
  <c r="Y1" i="20" s="1"/>
  <c r="X3" i="20"/>
  <c r="X1" i="20" s="1"/>
  <c r="M23" i="20"/>
  <c r="L41" i="20"/>
  <c r="B84" i="20" s="1"/>
  <c r="L42" i="20"/>
  <c r="B85" i="20" s="1"/>
  <c r="V3" i="20"/>
  <c r="V1" i="20" s="1"/>
  <c r="L43" i="20"/>
  <c r="B86" i="20" s="1"/>
  <c r="T43" i="20"/>
  <c r="A86" i="20"/>
  <c r="T42" i="20"/>
  <c r="A85" i="20"/>
  <c r="T41" i="20"/>
  <c r="T9" i="20"/>
  <c r="AB9" i="20" s="1"/>
  <c r="T40" i="20"/>
  <c r="T8" i="20"/>
  <c r="AB8" i="20" s="1"/>
  <c r="T7" i="20"/>
  <c r="AB7" i="20" s="1"/>
  <c r="AE7" i="20" s="1"/>
  <c r="T38" i="20"/>
  <c r="F22" i="20"/>
  <c r="T5" i="20"/>
  <c r="AB5" i="20" s="1"/>
  <c r="T37" i="20"/>
  <c r="L39" i="20"/>
  <c r="B82" i="20" s="1"/>
  <c r="L38" i="20"/>
  <c r="B81" i="20" s="1"/>
  <c r="U4" i="20"/>
  <c r="AE3" i="20"/>
  <c r="M21" i="20"/>
  <c r="M22" i="20"/>
  <c r="L40" i="20"/>
  <c r="B83" i="20" s="1"/>
  <c r="M24" i="20"/>
  <c r="W3" i="20"/>
  <c r="W1" i="20" s="1"/>
  <c r="A81" i="20"/>
  <c r="C83" i="20"/>
  <c r="A84" i="20"/>
  <c r="S36" i="20"/>
  <c r="Z3" i="20"/>
  <c r="Z1" i="20" s="1"/>
  <c r="A82" i="20"/>
  <c r="L37" i="20"/>
  <c r="B80" i="20" s="1"/>
  <c r="AA4" i="21" l="1"/>
  <c r="L39" i="21"/>
  <c r="B82" i="21" s="1"/>
  <c r="L40" i="21"/>
  <c r="B83" i="21" s="1"/>
  <c r="C92" i="21"/>
  <c r="AE3" i="21"/>
  <c r="M22" i="21"/>
  <c r="C93" i="21"/>
  <c r="L43" i="21"/>
  <c r="B86" i="21" s="1"/>
  <c r="U41" i="21"/>
  <c r="W41" i="21" s="1"/>
  <c r="M41" i="21" s="1"/>
  <c r="U38" i="21"/>
  <c r="W38" i="21" s="1"/>
  <c r="M38" i="21" s="1"/>
  <c r="U43" i="21"/>
  <c r="W43" i="21" s="1"/>
  <c r="M43" i="21" s="1"/>
  <c r="U42" i="21"/>
  <c r="W42" i="21" s="1"/>
  <c r="M42" i="21" s="1"/>
  <c r="U40" i="21"/>
  <c r="W40" i="21" s="1"/>
  <c r="M40" i="21" s="1"/>
  <c r="U39" i="21"/>
  <c r="W39" i="21" s="1"/>
  <c r="M39" i="21" s="1"/>
  <c r="U37" i="21"/>
  <c r="W37" i="21" s="1"/>
  <c r="M37" i="21" s="1"/>
  <c r="L37" i="21"/>
  <c r="B80" i="21" s="1"/>
  <c r="L38" i="21"/>
  <c r="B81" i="21" s="1"/>
  <c r="M21" i="21"/>
  <c r="L41" i="21"/>
  <c r="B84" i="21" s="1"/>
  <c r="L42" i="21"/>
  <c r="B85" i="21" s="1"/>
  <c r="C93" i="20"/>
  <c r="C92" i="20"/>
  <c r="C94" i="20" s="1" a="1"/>
  <c r="C94" i="20" s="1"/>
  <c r="U43" i="20"/>
  <c r="W43" i="20" s="1"/>
  <c r="M43" i="20" s="1"/>
  <c r="U42" i="20"/>
  <c r="W42" i="20" s="1"/>
  <c r="M42" i="20" s="1"/>
  <c r="U41" i="20"/>
  <c r="W41" i="20" s="1"/>
  <c r="M41" i="20" s="1"/>
  <c r="U40" i="20"/>
  <c r="W40" i="20" s="1"/>
  <c r="M40" i="20" s="1"/>
  <c r="U39" i="20"/>
  <c r="W39" i="20" s="1"/>
  <c r="M39" i="20" s="1"/>
  <c r="U38" i="20"/>
  <c r="W38" i="20" s="1"/>
  <c r="M38" i="20" s="1"/>
  <c r="U37" i="20"/>
  <c r="W37" i="20" s="1"/>
  <c r="M37" i="20" s="1"/>
  <c r="C94" i="21" l="1" a="1"/>
  <c r="C94" i="21" s="1"/>
  <c r="C88" i="21" s="1"/>
  <c r="C88" i="20"/>
  <c r="C87" i="20"/>
  <c r="C87" i="2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<sst xmlns="http://schemas.openxmlformats.org/spreadsheetml/2006/main" count="183" uniqueCount="102">
  <si>
    <t>Competitive Value Analysis</t>
  </si>
  <si>
    <t>Instructions</t>
  </si>
  <si>
    <t>Section 1: Inputs</t>
  </si>
  <si>
    <t>Step #</t>
  </si>
  <si>
    <t>Action</t>
  </si>
  <si>
    <r>
      <t xml:space="preserve">Go to the </t>
    </r>
    <r>
      <rPr>
        <b/>
        <sz val="14"/>
        <rFont val="Arial"/>
        <family val="2"/>
      </rPr>
      <t>Hotel Detail</t>
    </r>
    <r>
      <rPr>
        <sz val="14"/>
        <rFont val="Arial"/>
        <family val="2"/>
      </rPr>
      <t xml:space="preserve"> section. Fill in the white cells with the appropriate information.</t>
    </r>
  </si>
  <si>
    <r>
      <t xml:space="preserve">Fill in the </t>
    </r>
    <r>
      <rPr>
        <b/>
        <sz val="14"/>
        <rFont val="Arial"/>
        <family val="2"/>
      </rPr>
      <t>Competitors</t>
    </r>
    <r>
      <rPr>
        <sz val="14"/>
        <rFont val="Arial"/>
        <family val="2"/>
      </rPr>
      <t xml:space="preserve"> section with the </t>
    </r>
    <r>
      <rPr>
        <b/>
        <sz val="14"/>
        <rFont val="Arial"/>
        <family val="2"/>
      </rPr>
      <t>Hotel Name</t>
    </r>
    <r>
      <rPr>
        <sz val="14"/>
        <rFont val="Arial"/>
        <family val="2"/>
      </rPr>
      <t xml:space="preserve">, </t>
    </r>
    <r>
      <rPr>
        <b/>
        <sz val="14"/>
        <rFont val="Arial"/>
        <family val="2"/>
      </rPr>
      <t># of Guest Rooms</t>
    </r>
    <r>
      <rPr>
        <sz val="14"/>
        <rFont val="Arial"/>
        <family val="2"/>
      </rPr>
      <t>, and</t>
    </r>
    <r>
      <rPr>
        <b/>
        <sz val="14"/>
        <rFont val="Arial"/>
        <family val="2"/>
      </rPr>
      <t xml:space="preserve"> Room Rate</t>
    </r>
    <r>
      <rPr>
        <sz val="14"/>
        <rFont val="Arial"/>
        <family val="2"/>
      </rPr>
      <t xml:space="preserve"> that is charged for the market segment and room type you are reviewing.  If you do not have 7 competitors, leave the extra cells blank.  If you are missing information for a competitor, an error will display.</t>
    </r>
  </si>
  <si>
    <r>
      <t xml:space="preserve">Fill in the </t>
    </r>
    <r>
      <rPr>
        <b/>
        <sz val="14"/>
        <rFont val="Arial"/>
        <family val="2"/>
      </rPr>
      <t>Attributes</t>
    </r>
    <r>
      <rPr>
        <sz val="14"/>
        <rFont val="Arial"/>
        <family val="2"/>
      </rPr>
      <t xml:space="preserve"> section with the hotel features that you are rating. Assign a weight to each attribute based on its importance to the market segment.  The weights must add up to 100%.  You will receive an error message if they do not.</t>
    </r>
  </si>
  <si>
    <r>
      <t xml:space="preserve">Click the </t>
    </r>
    <r>
      <rPr>
        <b/>
        <sz val="14"/>
        <rFont val="Arial"/>
        <family val="2"/>
      </rPr>
      <t>Go To Ratings</t>
    </r>
    <r>
      <rPr>
        <sz val="14"/>
        <rFont val="Arial"/>
        <family val="2"/>
      </rPr>
      <t xml:space="preserve"> button to enter the ratings.</t>
    </r>
  </si>
  <si>
    <t>Section 2: Ratings</t>
  </si>
  <si>
    <t>Fill in ratings between -3 --&gt; 3 for each attribute for each competitor.  These ratings are relative to your hotel, where a score of -3 means that property is much worse than yours at this particular attribute, and a score of 3 is much better than your property.  If the attribute quality is the same as your hotel, rate it 0.</t>
  </si>
  <si>
    <t>Error messages will be displayed if information is missing or invalid.  Once all information is complete, the red error messages will disappear.</t>
  </si>
  <si>
    <r>
      <t xml:space="preserve">Click the </t>
    </r>
    <r>
      <rPr>
        <b/>
        <sz val="14"/>
        <rFont val="Arial"/>
        <family val="2"/>
      </rPr>
      <t>Go To Chart</t>
    </r>
    <r>
      <rPr>
        <sz val="14"/>
        <rFont val="Arial"/>
        <family val="2"/>
      </rPr>
      <t xml:space="preserve"> button to see the output.</t>
    </r>
  </si>
  <si>
    <t>Section 3: Chart</t>
  </si>
  <si>
    <t>There is no action to take in this section.  Instructions for interpretting the results are included below the output.</t>
  </si>
  <si>
    <r>
      <t xml:space="preserve">Use the navigation buttons to return to </t>
    </r>
    <r>
      <rPr>
        <b/>
        <sz val="14"/>
        <rFont val="Arial"/>
        <family val="2"/>
      </rPr>
      <t>Inputs</t>
    </r>
    <r>
      <rPr>
        <sz val="14"/>
        <rFont val="Arial"/>
        <family val="2"/>
      </rPr>
      <t xml:space="preserve">, </t>
    </r>
    <r>
      <rPr>
        <b/>
        <sz val="14"/>
        <rFont val="Arial"/>
        <family val="2"/>
      </rPr>
      <t>Ratings</t>
    </r>
    <r>
      <rPr>
        <sz val="14"/>
        <rFont val="Arial"/>
        <family val="2"/>
      </rPr>
      <t xml:space="preserve">, or to </t>
    </r>
    <r>
      <rPr>
        <b/>
        <sz val="14"/>
        <rFont val="Arial"/>
        <family val="2"/>
      </rPr>
      <t xml:space="preserve">Print </t>
    </r>
    <r>
      <rPr>
        <sz val="14"/>
        <rFont val="Arial"/>
        <family val="2"/>
      </rPr>
      <t>the chart.</t>
    </r>
  </si>
  <si>
    <t>SECTION 1: INPUTS</t>
  </si>
  <si>
    <t>Weight / Attribute</t>
  </si>
  <si>
    <t>HOTEL DETAIL</t>
  </si>
  <si>
    <t>My Hotel Name:</t>
  </si>
  <si>
    <t>Hyatt Regency</t>
  </si>
  <si>
    <t>Target Market:</t>
  </si>
  <si>
    <t>Business traveller</t>
  </si>
  <si>
    <t>Room Type:</t>
  </si>
  <si>
    <t>1 King bed</t>
  </si>
  <si>
    <t>Room Rate:</t>
  </si>
  <si>
    <t>Go to Instructions</t>
  </si>
  <si>
    <t>COMPETITORS</t>
  </si>
  <si>
    <t>ATTRIBUTES</t>
  </si>
  <si>
    <t>Hotel Name</t>
  </si>
  <si>
    <t># of Guest Rooms</t>
  </si>
  <si>
    <t>Room Rate</t>
  </si>
  <si>
    <t>Attributes</t>
  </si>
  <si>
    <t>Weight</t>
  </si>
  <si>
    <t>Competitors Missing Rates</t>
  </si>
  <si>
    <t>Attribute is Blank</t>
  </si>
  <si>
    <t>Attribute Weight is 0</t>
  </si>
  <si>
    <t>Competitor 1</t>
  </si>
  <si>
    <t>Crown Sydney(Higher)</t>
  </si>
  <si>
    <t>Attribute 1</t>
  </si>
  <si>
    <t>Conference/event facilities</t>
  </si>
  <si>
    <t>Competitor 2</t>
  </si>
  <si>
    <t>Sofitel Daring Harbour</t>
    <phoneticPr fontId="41"/>
  </si>
  <si>
    <t>Attribute 2</t>
  </si>
  <si>
    <t xml:space="preserve">Location (accessibilities to events area)	</t>
  </si>
  <si>
    <t>Competitor 3</t>
  </si>
  <si>
    <t>QT Sydney</t>
    <phoneticPr fontId="41"/>
  </si>
  <si>
    <t>Attribute 3</t>
  </si>
  <si>
    <t>Staff/service quality</t>
  </si>
  <si>
    <t>Competitor 4</t>
  </si>
  <si>
    <t>Paradox Sydney</t>
    <phoneticPr fontId="41"/>
  </si>
  <si>
    <t>Attribute 4</t>
  </si>
  <si>
    <t>Breakfast (buffet)</t>
  </si>
  <si>
    <t>Competitor 5</t>
  </si>
  <si>
    <t>Swissotel</t>
  </si>
  <si>
    <t>Attribute 5</t>
  </si>
  <si>
    <t xml:space="preserve">Loyalty program(Lounge Club, discount)	</t>
  </si>
  <si>
    <t>Competitor 6</t>
  </si>
  <si>
    <t>Pullman Sydney Hyde Park(Lower)</t>
  </si>
  <si>
    <t>Attribute 6</t>
  </si>
  <si>
    <t>Room amenities (toiletries, branded amenities)</t>
  </si>
  <si>
    <t>Competitor 7</t>
  </si>
  <si>
    <t>Attribute 7</t>
  </si>
  <si>
    <t xml:space="preserve">Speed of wifi </t>
  </si>
  <si>
    <t>Total:</t>
  </si>
  <si>
    <t>SECTION 2: RATINGS</t>
  </si>
  <si>
    <t>1=Yes</t>
  </si>
  <si>
    <t>1=No</t>
  </si>
  <si>
    <t>Blank</t>
  </si>
  <si>
    <t>All Fields Filled In</t>
  </si>
  <si>
    <t>Result</t>
  </si>
  <si>
    <t>Error Message</t>
  </si>
  <si>
    <t>My Hotel Name</t>
  </si>
  <si>
    <t>Delete values in red</t>
  </si>
  <si>
    <t>Fill in a values for all white cells</t>
  </si>
  <si>
    <t>My Rate:</t>
  </si>
  <si>
    <t>Competitor</t>
  </si>
  <si>
    <t>Overall Quality Assessment</t>
  </si>
  <si>
    <t>Error</t>
  </si>
  <si>
    <t>SECTION 3: CHART</t>
  </si>
  <si>
    <t>Ranking</t>
  </si>
  <si>
    <t>Rate Difference</t>
  </si>
  <si>
    <t>Min</t>
  </si>
  <si>
    <t>Max</t>
  </si>
  <si>
    <t>Max Absolute Value</t>
  </si>
  <si>
    <t>Hotel Grand</t>
  </si>
  <si>
    <t>Social</t>
  </si>
  <si>
    <t>Standard</t>
  </si>
  <si>
    <t>City View</t>
  </si>
  <si>
    <t>Guest rooms</t>
  </si>
  <si>
    <t>Country Inn</t>
  </si>
  <si>
    <t>Location</t>
  </si>
  <si>
    <t>Lakefront Lodge</t>
  </si>
  <si>
    <t>Pool</t>
  </si>
  <si>
    <t>Hotel Downtown</t>
  </si>
  <si>
    <t>Restaurant</t>
  </si>
  <si>
    <t>Seaside Cottage</t>
  </si>
  <si>
    <t>Service</t>
  </si>
  <si>
    <t>Family Hotel</t>
  </si>
  <si>
    <t>Lobby</t>
  </si>
  <si>
    <t>Royal Tower</t>
  </si>
  <si>
    <t>Fitness Center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</si>
</sst>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$&quot;#,##0_);[Red]\(&quot;$&quot;#,##0\)"/>
    <numFmt numFmtId="177" formatCode="_(&quot;$&quot;* #,##0_);_(&quot;$&quot;* \(#,##0\);_(&quot;$&quot;* &quot;-&quot;_);_(@_)"/>
    <numFmt numFmtId="178" formatCode="_(* #,##0_);_(* \(#,##0\);_(* &quot;-&quot;_);_(@_)"/>
    <numFmt numFmtId="179" formatCode="_(&quot;$&quot;* #,##0.00_);_(&quot;$&quot;* \(#,##0.00\);_(&quot;$&quot;* &quot;-&quot;??_);_(@_)"/>
    <numFmt numFmtId="180" formatCode="_(* #,##0.00_);_(* \(#,##0.00\);_(* &quot;-&quot;??_);_(@_)"/>
    <numFmt numFmtId="181" formatCode="_(* #,##0_);_(* \(#,##0\);_(* &quot;-&quot;??_);_(@_)"/>
    <numFmt numFmtId="182" formatCode="0.0"/>
  </numFmts>
  <fonts count="42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name val="游ゴシック"/>
      <family val="2"/>
      <scheme val="minor"/>
    </font>
    <font>
      <sz val="11"/>
      <color rgb="FFFF0000"/>
      <name val="游ゴシック"/>
      <family val="2"/>
      <scheme val="minor"/>
    </font>
    <font>
      <sz val="12"/>
      <name val="Arial"/>
      <family val="2"/>
    </font>
    <font>
      <sz val="10"/>
      <name val="Arial"/>
      <family val="2"/>
    </font>
    <font>
      <u/>
      <sz val="10.55"/>
      <color indexed="12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b/>
      <sz val="16"/>
      <name val="Arial"/>
      <family val="2"/>
    </font>
    <font>
      <sz val="10"/>
      <color indexed="9"/>
      <name val="Arial"/>
      <family val="2"/>
    </font>
    <font>
      <b/>
      <sz val="10"/>
      <color indexed="8"/>
      <name val="Arial"/>
      <family val="2"/>
    </font>
    <font>
      <sz val="11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36"/>
      <name val="Calibri"/>
      <family val="2"/>
    </font>
    <font>
      <b/>
      <sz val="11"/>
      <color indexed="53"/>
      <name val="Calibri"/>
      <family val="2"/>
    </font>
    <font>
      <b/>
      <sz val="15"/>
      <color indexed="48"/>
      <name val="Calibri"/>
      <family val="2"/>
    </font>
    <font>
      <b/>
      <sz val="13"/>
      <color indexed="48"/>
      <name val="Calibri"/>
      <family val="2"/>
    </font>
    <font>
      <b/>
      <sz val="11"/>
      <color indexed="48"/>
      <name val="Calibri"/>
      <family val="2"/>
    </font>
    <font>
      <sz val="11"/>
      <color indexed="21"/>
      <name val="Calibri"/>
      <family val="2"/>
    </font>
    <font>
      <sz val="11"/>
      <color indexed="53"/>
      <name val="Calibri"/>
      <family val="2"/>
    </font>
    <font>
      <sz val="11"/>
      <color indexed="16"/>
      <name val="Calibri"/>
      <family val="2"/>
    </font>
    <font>
      <b/>
      <sz val="18"/>
      <color indexed="48"/>
      <name val="Cambria"/>
      <family val="2"/>
    </font>
    <font>
      <b/>
      <sz val="20"/>
      <color indexed="9"/>
      <name val="Arial"/>
      <family val="2"/>
    </font>
    <font>
      <b/>
      <sz val="14"/>
      <name val="Arial"/>
      <family val="2"/>
    </font>
    <font>
      <b/>
      <sz val="14"/>
      <color theme="0"/>
      <name val="游ゴシック"/>
      <family val="2"/>
      <scheme val="minor"/>
    </font>
    <font>
      <sz val="11"/>
      <color theme="0" tint="-0.14999847407452621"/>
      <name val="游ゴシック"/>
      <family val="2"/>
      <scheme val="minor"/>
    </font>
    <font>
      <b/>
      <sz val="16"/>
      <color indexed="9"/>
      <name val="Arial"/>
      <family val="2"/>
    </font>
    <font>
      <sz val="14"/>
      <name val="Arial"/>
      <family val="2"/>
    </font>
    <font>
      <b/>
      <i/>
      <sz val="14"/>
      <name val="Arial"/>
      <family val="2"/>
    </font>
    <font>
      <sz val="14"/>
      <color theme="1"/>
      <name val="游ゴシック"/>
      <family val="2"/>
      <scheme val="minor"/>
    </font>
    <font>
      <u/>
      <sz val="10.5"/>
      <color indexed="12"/>
      <name val="Arial"/>
      <family val="2"/>
    </font>
    <font>
      <b/>
      <i/>
      <sz val="12"/>
      <name val="Arial"/>
      <family val="2"/>
    </font>
    <font>
      <sz val="6"/>
      <name val="游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1C1"/>
        <bgColor indexed="64"/>
      </patternFill>
    </fill>
    <fill>
      <patternFill patternType="solid">
        <fgColor indexed="51"/>
      </patternFill>
    </fill>
    <fill>
      <patternFill patternType="solid">
        <fgColor indexed="45"/>
      </patternFill>
    </fill>
    <fill>
      <patternFill patternType="solid">
        <fgColor indexed="50"/>
      </patternFill>
    </fill>
    <fill>
      <patternFill patternType="solid">
        <fgColor indexed="54"/>
      </patternFill>
    </fill>
    <fill>
      <patternFill patternType="solid">
        <fgColor indexed="46"/>
      </patternFill>
    </fill>
    <fill>
      <patternFill patternType="solid">
        <fgColor indexed="40"/>
      </patternFill>
    </fill>
    <fill>
      <patternFill patternType="solid">
        <fgColor indexed="27"/>
      </patternFill>
    </fill>
    <fill>
      <patternFill patternType="solid">
        <fgColor indexed="49"/>
      </patternFill>
    </fill>
    <fill>
      <patternFill patternType="solid">
        <fgColor indexed="19"/>
      </patternFill>
    </fill>
    <fill>
      <patternFill patternType="solid">
        <fgColor indexed="22"/>
      </patternFill>
    </fill>
    <fill>
      <patternFill patternType="solid">
        <fgColor indexed="59"/>
      </patternFill>
    </fill>
    <fill>
      <patternFill patternType="solid">
        <fgColor indexed="48"/>
      </patternFill>
    </fill>
    <fill>
      <patternFill patternType="solid">
        <fgColor indexed="58"/>
      </patternFill>
    </fill>
    <fill>
      <patternFill patternType="solid">
        <fgColor indexed="23"/>
      </patternFill>
    </fill>
    <fill>
      <patternFill patternType="solid">
        <fgColor indexed="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medium">
        <color indexed="19"/>
      </bottom>
      <diagonal/>
    </border>
    <border>
      <left/>
      <right/>
      <top/>
      <bottom style="double">
        <color indexed="5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</borders>
  <cellStyleXfs count="1396">
    <xf numFmtId="0" fontId="0" fillId="0" borderId="0"/>
    <xf numFmtId="9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0" fontId="4" fillId="0" borderId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3" fillId="14" borderId="15" applyNumberFormat="0" applyAlignment="0" applyProtection="0"/>
    <xf numFmtId="0" fontId="23" fillId="14" borderId="15" applyNumberFormat="0" applyAlignment="0" applyProtection="0"/>
    <xf numFmtId="0" fontId="23" fillId="14" borderId="15" applyNumberFormat="0" applyAlignment="0" applyProtection="0"/>
    <xf numFmtId="0" fontId="23" fillId="14" borderId="15" applyNumberFormat="0" applyAlignment="0" applyProtection="0"/>
    <xf numFmtId="0" fontId="23" fillId="14" borderId="15" applyNumberFormat="0" applyAlignment="0" applyProtection="0"/>
    <xf numFmtId="0" fontId="23" fillId="14" borderId="15" applyNumberFormat="0" applyAlignment="0" applyProtection="0"/>
    <xf numFmtId="0" fontId="23" fillId="14" borderId="15" applyNumberFormat="0" applyAlignment="0" applyProtection="0"/>
    <xf numFmtId="0" fontId="23" fillId="14" borderId="15" applyNumberFormat="0" applyAlignment="0" applyProtection="0"/>
    <xf numFmtId="0" fontId="23" fillId="14" borderId="15" applyNumberFormat="0" applyAlignment="0" applyProtection="0"/>
    <xf numFmtId="0" fontId="23" fillId="14" borderId="15" applyNumberFormat="0" applyAlignment="0" applyProtection="0"/>
    <xf numFmtId="0" fontId="23" fillId="14" borderId="15" applyNumberFormat="0" applyAlignment="0" applyProtection="0"/>
    <xf numFmtId="0" fontId="23" fillId="14" borderId="15" applyNumberFormat="0" applyAlignment="0" applyProtection="0"/>
    <xf numFmtId="0" fontId="23" fillId="14" borderId="15" applyNumberFormat="0" applyAlignment="0" applyProtection="0"/>
    <xf numFmtId="0" fontId="23" fillId="14" borderId="15" applyNumberFormat="0" applyAlignment="0" applyProtection="0"/>
    <xf numFmtId="0" fontId="23" fillId="14" borderId="15" applyNumberFormat="0" applyAlignment="0" applyProtection="0"/>
    <xf numFmtId="0" fontId="23" fillId="14" borderId="15" applyNumberFormat="0" applyAlignment="0" applyProtection="0"/>
    <xf numFmtId="0" fontId="23" fillId="14" borderId="15" applyNumberFormat="0" applyAlignment="0" applyProtection="0"/>
    <xf numFmtId="0" fontId="23" fillId="14" borderId="15" applyNumberFormat="0" applyAlignment="0" applyProtection="0"/>
    <xf numFmtId="0" fontId="23" fillId="14" borderId="15" applyNumberFormat="0" applyAlignment="0" applyProtection="0"/>
    <xf numFmtId="0" fontId="16" fillId="18" borderId="16" applyNumberFormat="0" applyAlignment="0" applyProtection="0"/>
    <xf numFmtId="0" fontId="16" fillId="18" borderId="16" applyNumberFormat="0" applyAlignment="0" applyProtection="0"/>
    <xf numFmtId="0" fontId="16" fillId="18" borderId="16" applyNumberFormat="0" applyAlignment="0" applyProtection="0"/>
    <xf numFmtId="0" fontId="16" fillId="18" borderId="16" applyNumberFormat="0" applyAlignment="0" applyProtection="0"/>
    <xf numFmtId="0" fontId="16" fillId="18" borderId="16" applyNumberFormat="0" applyAlignment="0" applyProtection="0"/>
    <xf numFmtId="0" fontId="16" fillId="18" borderId="16" applyNumberFormat="0" applyAlignment="0" applyProtection="0"/>
    <xf numFmtId="0" fontId="16" fillId="18" borderId="16" applyNumberFormat="0" applyAlignment="0" applyProtection="0"/>
    <xf numFmtId="0" fontId="16" fillId="18" borderId="16" applyNumberFormat="0" applyAlignment="0" applyProtection="0"/>
    <xf numFmtId="0" fontId="16" fillId="18" borderId="16" applyNumberFormat="0" applyAlignment="0" applyProtection="0"/>
    <xf numFmtId="0" fontId="16" fillId="18" borderId="16" applyNumberFormat="0" applyAlignment="0" applyProtection="0"/>
    <xf numFmtId="0" fontId="16" fillId="18" borderId="16" applyNumberFormat="0" applyAlignment="0" applyProtection="0"/>
    <xf numFmtId="0" fontId="16" fillId="18" borderId="16" applyNumberFormat="0" applyAlignment="0" applyProtection="0"/>
    <xf numFmtId="0" fontId="16" fillId="18" borderId="16" applyNumberFormat="0" applyAlignment="0" applyProtection="0"/>
    <xf numFmtId="0" fontId="16" fillId="18" borderId="16" applyNumberFormat="0" applyAlignment="0" applyProtection="0"/>
    <xf numFmtId="0" fontId="16" fillId="18" borderId="16" applyNumberFormat="0" applyAlignment="0" applyProtection="0"/>
    <xf numFmtId="0" fontId="16" fillId="18" borderId="16" applyNumberFormat="0" applyAlignment="0" applyProtection="0"/>
    <xf numFmtId="0" fontId="16" fillId="18" borderId="16" applyNumberFormat="0" applyAlignment="0" applyProtection="0"/>
    <xf numFmtId="0" fontId="16" fillId="18" borderId="16" applyNumberFormat="0" applyAlignment="0" applyProtection="0"/>
    <xf numFmtId="0" fontId="16" fillId="18" borderId="16" applyNumberFormat="0" applyAlignment="0" applyProtection="0"/>
    <xf numFmtId="180" fontId="5" fillId="0" borderId="0" applyFont="0" applyFill="0" applyBorder="0" applyAlignment="0" applyProtection="0"/>
    <xf numFmtId="180" fontId="5" fillId="0" borderId="0" applyFont="0" applyFill="0" applyBorder="0" applyAlignment="0" applyProtection="0"/>
    <xf numFmtId="180" fontId="5" fillId="0" borderId="0" applyFont="0" applyFill="0" applyBorder="0" applyAlignment="0" applyProtection="0"/>
    <xf numFmtId="179" fontId="5" fillId="0" borderId="0" applyFont="0" applyFill="0" applyBorder="0" applyAlignment="0" applyProtection="0"/>
    <xf numFmtId="179" fontId="5" fillId="0" borderId="0" applyFont="0" applyFill="0" applyBorder="0" applyAlignment="0" applyProtection="0"/>
    <xf numFmtId="179" fontId="5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180" fontId="5" fillId="0" borderId="0" applyBorder="0"/>
    <xf numFmtId="180" fontId="5" fillId="0" borderId="0" applyBorder="0"/>
    <xf numFmtId="180" fontId="5" fillId="0" borderId="0" applyBorder="0"/>
    <xf numFmtId="178" fontId="5" fillId="0" borderId="0" applyBorder="0"/>
    <xf numFmtId="178" fontId="5" fillId="0" borderId="0" applyBorder="0"/>
    <xf numFmtId="178" fontId="5" fillId="0" borderId="0" applyBorder="0"/>
    <xf numFmtId="179" fontId="5" fillId="0" borderId="0" applyBorder="0"/>
    <xf numFmtId="179" fontId="5" fillId="0" borderId="0" applyBorder="0"/>
    <xf numFmtId="179" fontId="5" fillId="0" borderId="0" applyBorder="0"/>
    <xf numFmtId="179" fontId="5" fillId="0" borderId="0" applyBorder="0"/>
    <xf numFmtId="179" fontId="5" fillId="0" borderId="0" applyBorder="0"/>
    <xf numFmtId="179" fontId="5" fillId="0" borderId="0" applyBorder="0"/>
    <xf numFmtId="177" fontId="5" fillId="0" borderId="0" applyBorder="0"/>
    <xf numFmtId="177" fontId="5" fillId="0" borderId="0" applyBorder="0"/>
    <xf numFmtId="177" fontId="5" fillId="0" borderId="0" applyBorder="0"/>
    <xf numFmtId="0" fontId="8" fillId="0" borderId="0" applyNumberFormat="0" applyBorder="0"/>
    <xf numFmtId="0" fontId="8" fillId="0" borderId="0" applyNumberFormat="0" applyBorder="0"/>
    <xf numFmtId="0" fontId="8" fillId="0" borderId="0" applyNumberFormat="0" applyBorder="0"/>
    <xf numFmtId="9" fontId="5" fillId="0" borderId="0" applyBorder="0"/>
    <xf numFmtId="9" fontId="5" fillId="0" borderId="0" applyBorder="0"/>
    <xf numFmtId="9" fontId="5" fillId="0" borderId="0" applyBorder="0"/>
    <xf numFmtId="0" fontId="7" fillId="0" borderId="0" applyNumberFormat="0" applyBorder="0"/>
    <xf numFmtId="0" fontId="7" fillId="0" borderId="0" applyNumberFormat="0" applyBorder="0"/>
    <xf numFmtId="0" fontId="7" fillId="0" borderId="0" applyNumberFormat="0" applyBorder="0"/>
    <xf numFmtId="0" fontId="8" fillId="0" borderId="0" applyNumberFormat="0" applyBorder="0"/>
    <xf numFmtId="0" fontId="8" fillId="0" borderId="0" applyNumberFormat="0" applyBorder="0"/>
    <xf numFmtId="0" fontId="8" fillId="0" borderId="0" applyNumberFormat="0" applyBorder="0"/>
    <xf numFmtId="9" fontId="5" fillId="0" borderId="0" applyBorder="0"/>
    <xf numFmtId="9" fontId="5" fillId="0" borderId="0" applyBorder="0"/>
    <xf numFmtId="9" fontId="5" fillId="0" borderId="0" applyBorder="0"/>
    <xf numFmtId="0" fontId="7" fillId="0" borderId="0" applyNumberFormat="0" applyBorder="0"/>
    <xf numFmtId="0" fontId="7" fillId="0" borderId="0" applyNumberFormat="0" applyBorder="0"/>
    <xf numFmtId="0" fontId="7" fillId="0" borderId="0" applyNumberFormat="0" applyBorder="0"/>
    <xf numFmtId="0" fontId="8" fillId="0" borderId="0" applyNumberFormat="0" applyBorder="0"/>
    <xf numFmtId="0" fontId="8" fillId="0" borderId="0" applyNumberFormat="0" applyBorder="0"/>
    <xf numFmtId="0" fontId="8" fillId="0" borderId="0" applyNumberFormat="0" applyBorder="0"/>
    <xf numFmtId="9" fontId="5" fillId="0" borderId="0" applyBorder="0"/>
    <xf numFmtId="9" fontId="5" fillId="0" borderId="0" applyBorder="0"/>
    <xf numFmtId="9" fontId="5" fillId="0" borderId="0" applyBorder="0"/>
    <xf numFmtId="0" fontId="7" fillId="0" borderId="0" applyNumberFormat="0" applyBorder="0"/>
    <xf numFmtId="0" fontId="7" fillId="0" borderId="0" applyNumberFormat="0" applyBorder="0"/>
    <xf numFmtId="0" fontId="7" fillId="0" borderId="0" applyNumberFormat="0" applyBorder="0"/>
    <xf numFmtId="0" fontId="8" fillId="0" borderId="0" applyNumberFormat="0" applyBorder="0"/>
    <xf numFmtId="0" fontId="8" fillId="0" borderId="0" applyNumberFormat="0" applyBorder="0"/>
    <xf numFmtId="0" fontId="8" fillId="0" borderId="0" applyNumberFormat="0" applyBorder="0"/>
    <xf numFmtId="9" fontId="5" fillId="0" borderId="0" applyBorder="0"/>
    <xf numFmtId="9" fontId="5" fillId="0" borderId="0" applyBorder="0"/>
    <xf numFmtId="9" fontId="5" fillId="0" borderId="0" applyBorder="0"/>
    <xf numFmtId="0" fontId="7" fillId="0" borderId="0" applyNumberFormat="0" applyBorder="0"/>
    <xf numFmtId="0" fontId="7" fillId="0" borderId="0" applyNumberFormat="0" applyBorder="0"/>
    <xf numFmtId="0" fontId="7" fillId="0" borderId="0" applyNumberFormat="0" applyBorder="0"/>
    <xf numFmtId="0" fontId="8" fillId="0" borderId="0" applyNumberFormat="0" applyBorder="0"/>
    <xf numFmtId="0" fontId="8" fillId="0" borderId="0" applyNumberFormat="0" applyBorder="0"/>
    <xf numFmtId="0" fontId="8" fillId="0" borderId="0" applyNumberFormat="0" applyBorder="0"/>
    <xf numFmtId="9" fontId="5" fillId="0" borderId="0" applyBorder="0"/>
    <xf numFmtId="9" fontId="5" fillId="0" borderId="0" applyBorder="0"/>
    <xf numFmtId="9" fontId="5" fillId="0" borderId="0" applyBorder="0"/>
    <xf numFmtId="0" fontId="7" fillId="0" borderId="0" applyNumberFormat="0" applyBorder="0" applyAlignment="0" applyProtection="0"/>
    <xf numFmtId="0" fontId="7" fillId="0" borderId="0" applyNumberFormat="0" applyBorder="0" applyAlignment="0" applyProtection="0"/>
    <xf numFmtId="0" fontId="7" fillId="0" borderId="0" applyNumberFormat="0" applyBorder="0" applyAlignment="0" applyProtection="0"/>
    <xf numFmtId="0" fontId="8" fillId="0" borderId="0" applyNumberFormat="0" applyBorder="0" applyAlignment="0" applyProtection="0"/>
    <xf numFmtId="0" fontId="8" fillId="0" borderId="0" applyNumberFormat="0" applyBorder="0" applyAlignment="0" applyProtection="0"/>
    <xf numFmtId="0" fontId="8" fillId="0" borderId="0" applyNumberFormat="0" applyBorder="0" applyAlignment="0" applyProtection="0"/>
    <xf numFmtId="9" fontId="5" fillId="0" borderId="0" applyBorder="0"/>
    <xf numFmtId="9" fontId="5" fillId="0" borderId="0" applyBorder="0"/>
    <xf numFmtId="9" fontId="5" fillId="0" borderId="0" applyBorder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24" fillId="0" borderId="17" applyNumberFormat="0" applyFill="0" applyAlignment="0" applyProtection="0"/>
    <xf numFmtId="0" fontId="24" fillId="0" borderId="17" applyNumberFormat="0" applyFill="0" applyAlignment="0" applyProtection="0"/>
    <xf numFmtId="0" fontId="24" fillId="0" borderId="17" applyNumberFormat="0" applyFill="0" applyAlignment="0" applyProtection="0"/>
    <xf numFmtId="0" fontId="24" fillId="0" borderId="17" applyNumberFormat="0" applyFill="0" applyAlignment="0" applyProtection="0"/>
    <xf numFmtId="0" fontId="24" fillId="0" borderId="17" applyNumberFormat="0" applyFill="0" applyAlignment="0" applyProtection="0"/>
    <xf numFmtId="0" fontId="24" fillId="0" borderId="17" applyNumberFormat="0" applyFill="0" applyAlignment="0" applyProtection="0"/>
    <xf numFmtId="0" fontId="24" fillId="0" borderId="17" applyNumberFormat="0" applyFill="0" applyAlignment="0" applyProtection="0"/>
    <xf numFmtId="0" fontId="24" fillId="0" borderId="17" applyNumberFormat="0" applyFill="0" applyAlignment="0" applyProtection="0"/>
    <xf numFmtId="0" fontId="24" fillId="0" borderId="17" applyNumberFormat="0" applyFill="0" applyAlignment="0" applyProtection="0"/>
    <xf numFmtId="0" fontId="24" fillId="0" borderId="17" applyNumberFormat="0" applyFill="0" applyAlignment="0" applyProtection="0"/>
    <xf numFmtId="0" fontId="24" fillId="0" borderId="17" applyNumberFormat="0" applyFill="0" applyAlignment="0" applyProtection="0"/>
    <xf numFmtId="0" fontId="24" fillId="0" borderId="17" applyNumberFormat="0" applyFill="0" applyAlignment="0" applyProtection="0"/>
    <xf numFmtId="0" fontId="24" fillId="0" borderId="17" applyNumberFormat="0" applyFill="0" applyAlignment="0" applyProtection="0"/>
    <xf numFmtId="0" fontId="24" fillId="0" borderId="17" applyNumberFormat="0" applyFill="0" applyAlignment="0" applyProtection="0"/>
    <xf numFmtId="0" fontId="24" fillId="0" borderId="17" applyNumberFormat="0" applyFill="0" applyAlignment="0" applyProtection="0"/>
    <xf numFmtId="0" fontId="24" fillId="0" borderId="17" applyNumberFormat="0" applyFill="0" applyAlignment="0" applyProtection="0"/>
    <xf numFmtId="0" fontId="24" fillId="0" borderId="17" applyNumberFormat="0" applyFill="0" applyAlignment="0" applyProtection="0"/>
    <xf numFmtId="0" fontId="24" fillId="0" borderId="17" applyNumberFormat="0" applyFill="0" applyAlignment="0" applyProtection="0"/>
    <xf numFmtId="0" fontId="24" fillId="0" borderId="17" applyNumberFormat="0" applyFill="0" applyAlignment="0" applyProtection="0"/>
    <xf numFmtId="0" fontId="25" fillId="0" borderId="18" applyNumberFormat="0" applyFill="0" applyAlignment="0" applyProtection="0"/>
    <xf numFmtId="0" fontId="25" fillId="0" borderId="18" applyNumberFormat="0" applyFill="0" applyAlignment="0" applyProtection="0"/>
    <xf numFmtId="0" fontId="25" fillId="0" borderId="18" applyNumberFormat="0" applyFill="0" applyAlignment="0" applyProtection="0"/>
    <xf numFmtId="0" fontId="25" fillId="0" borderId="18" applyNumberFormat="0" applyFill="0" applyAlignment="0" applyProtection="0"/>
    <xf numFmtId="0" fontId="25" fillId="0" borderId="18" applyNumberFormat="0" applyFill="0" applyAlignment="0" applyProtection="0"/>
    <xf numFmtId="0" fontId="25" fillId="0" borderId="18" applyNumberFormat="0" applyFill="0" applyAlignment="0" applyProtection="0"/>
    <xf numFmtId="0" fontId="25" fillId="0" borderId="18" applyNumberFormat="0" applyFill="0" applyAlignment="0" applyProtection="0"/>
    <xf numFmtId="0" fontId="25" fillId="0" borderId="18" applyNumberFormat="0" applyFill="0" applyAlignment="0" applyProtection="0"/>
    <xf numFmtId="0" fontId="25" fillId="0" borderId="18" applyNumberFormat="0" applyFill="0" applyAlignment="0" applyProtection="0"/>
    <xf numFmtId="0" fontId="25" fillId="0" borderId="18" applyNumberFormat="0" applyFill="0" applyAlignment="0" applyProtection="0"/>
    <xf numFmtId="0" fontId="25" fillId="0" borderId="18" applyNumberFormat="0" applyFill="0" applyAlignment="0" applyProtection="0"/>
    <xf numFmtId="0" fontId="25" fillId="0" borderId="18" applyNumberFormat="0" applyFill="0" applyAlignment="0" applyProtection="0"/>
    <xf numFmtId="0" fontId="25" fillId="0" borderId="18" applyNumberFormat="0" applyFill="0" applyAlignment="0" applyProtection="0"/>
    <xf numFmtId="0" fontId="25" fillId="0" borderId="18" applyNumberFormat="0" applyFill="0" applyAlignment="0" applyProtection="0"/>
    <xf numFmtId="0" fontId="25" fillId="0" borderId="18" applyNumberFormat="0" applyFill="0" applyAlignment="0" applyProtection="0"/>
    <xf numFmtId="0" fontId="25" fillId="0" borderId="18" applyNumberFormat="0" applyFill="0" applyAlignment="0" applyProtection="0"/>
    <xf numFmtId="0" fontId="25" fillId="0" borderId="18" applyNumberFormat="0" applyFill="0" applyAlignment="0" applyProtection="0"/>
    <xf numFmtId="0" fontId="25" fillId="0" borderId="18" applyNumberFormat="0" applyFill="0" applyAlignment="0" applyProtection="0"/>
    <xf numFmtId="0" fontId="25" fillId="0" borderId="18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27" fillId="18" borderId="15" applyNumberFormat="0" applyAlignment="0" applyProtection="0"/>
    <xf numFmtId="0" fontId="27" fillId="18" borderId="15" applyNumberFormat="0" applyAlignment="0" applyProtection="0"/>
    <xf numFmtId="0" fontId="27" fillId="18" borderId="15" applyNumberFormat="0" applyAlignment="0" applyProtection="0"/>
    <xf numFmtId="0" fontId="27" fillId="18" borderId="15" applyNumberFormat="0" applyAlignment="0" applyProtection="0"/>
    <xf numFmtId="0" fontId="27" fillId="18" borderId="15" applyNumberFormat="0" applyAlignment="0" applyProtection="0"/>
    <xf numFmtId="0" fontId="27" fillId="18" borderId="15" applyNumberFormat="0" applyAlignment="0" applyProtection="0"/>
    <xf numFmtId="0" fontId="27" fillId="18" borderId="15" applyNumberFormat="0" applyAlignment="0" applyProtection="0"/>
    <xf numFmtId="0" fontId="27" fillId="18" borderId="15" applyNumberFormat="0" applyAlignment="0" applyProtection="0"/>
    <xf numFmtId="0" fontId="27" fillId="18" borderId="15" applyNumberFormat="0" applyAlignment="0" applyProtection="0"/>
    <xf numFmtId="0" fontId="27" fillId="18" borderId="15" applyNumberFormat="0" applyAlignment="0" applyProtection="0"/>
    <xf numFmtId="0" fontId="27" fillId="18" borderId="15" applyNumberFormat="0" applyAlignment="0" applyProtection="0"/>
    <xf numFmtId="0" fontId="27" fillId="18" borderId="15" applyNumberFormat="0" applyAlignment="0" applyProtection="0"/>
    <xf numFmtId="0" fontId="27" fillId="18" borderId="15" applyNumberFormat="0" applyAlignment="0" applyProtection="0"/>
    <xf numFmtId="0" fontId="27" fillId="18" borderId="15" applyNumberFormat="0" applyAlignment="0" applyProtection="0"/>
    <xf numFmtId="0" fontId="27" fillId="18" borderId="15" applyNumberFormat="0" applyAlignment="0" applyProtection="0"/>
    <xf numFmtId="0" fontId="27" fillId="18" borderId="15" applyNumberFormat="0" applyAlignment="0" applyProtection="0"/>
    <xf numFmtId="0" fontId="27" fillId="18" borderId="15" applyNumberFormat="0" applyAlignment="0" applyProtection="0"/>
    <xf numFmtId="0" fontId="27" fillId="18" borderId="15" applyNumberFormat="0" applyAlignment="0" applyProtection="0"/>
    <xf numFmtId="0" fontId="27" fillId="18" borderId="15" applyNumberFormat="0" applyAlignment="0" applyProtection="0"/>
    <xf numFmtId="0" fontId="28" fillId="0" borderId="20" applyNumberFormat="0" applyFill="0" applyAlignment="0" applyProtection="0"/>
    <xf numFmtId="0" fontId="28" fillId="0" borderId="20" applyNumberFormat="0" applyFill="0" applyAlignment="0" applyProtection="0"/>
    <xf numFmtId="0" fontId="28" fillId="0" borderId="20" applyNumberFormat="0" applyFill="0" applyAlignment="0" applyProtection="0"/>
    <xf numFmtId="0" fontId="28" fillId="0" borderId="20" applyNumberFormat="0" applyFill="0" applyAlignment="0" applyProtection="0"/>
    <xf numFmtId="0" fontId="28" fillId="0" borderId="20" applyNumberFormat="0" applyFill="0" applyAlignment="0" applyProtection="0"/>
    <xf numFmtId="0" fontId="28" fillId="0" borderId="20" applyNumberFormat="0" applyFill="0" applyAlignment="0" applyProtection="0"/>
    <xf numFmtId="0" fontId="28" fillId="0" borderId="20" applyNumberFormat="0" applyFill="0" applyAlignment="0" applyProtection="0"/>
    <xf numFmtId="0" fontId="28" fillId="0" borderId="20" applyNumberFormat="0" applyFill="0" applyAlignment="0" applyProtection="0"/>
    <xf numFmtId="0" fontId="28" fillId="0" borderId="20" applyNumberFormat="0" applyFill="0" applyAlignment="0" applyProtection="0"/>
    <xf numFmtId="0" fontId="28" fillId="0" borderId="20" applyNumberFormat="0" applyFill="0" applyAlignment="0" applyProtection="0"/>
    <xf numFmtId="0" fontId="28" fillId="0" borderId="20" applyNumberFormat="0" applyFill="0" applyAlignment="0" applyProtection="0"/>
    <xf numFmtId="0" fontId="28" fillId="0" borderId="20" applyNumberFormat="0" applyFill="0" applyAlignment="0" applyProtection="0"/>
    <xf numFmtId="0" fontId="28" fillId="0" borderId="20" applyNumberFormat="0" applyFill="0" applyAlignment="0" applyProtection="0"/>
    <xf numFmtId="0" fontId="28" fillId="0" borderId="20" applyNumberFormat="0" applyFill="0" applyAlignment="0" applyProtection="0"/>
    <xf numFmtId="0" fontId="28" fillId="0" borderId="20" applyNumberFormat="0" applyFill="0" applyAlignment="0" applyProtection="0"/>
    <xf numFmtId="0" fontId="28" fillId="0" borderId="20" applyNumberFormat="0" applyFill="0" applyAlignment="0" applyProtection="0"/>
    <xf numFmtId="0" fontId="28" fillId="0" borderId="20" applyNumberFormat="0" applyFill="0" applyAlignment="0" applyProtection="0"/>
    <xf numFmtId="0" fontId="28" fillId="0" borderId="20" applyNumberFormat="0" applyFill="0" applyAlignment="0" applyProtection="0"/>
    <xf numFmtId="0" fontId="28" fillId="0" borderId="20" applyNumberFormat="0" applyFill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4" fillId="0" borderId="0"/>
    <xf numFmtId="0" fontId="5" fillId="0" borderId="0"/>
    <xf numFmtId="0" fontId="4" fillId="13" borderId="21" applyNumberFormat="0" applyFont="0" applyAlignment="0" applyProtection="0"/>
    <xf numFmtId="0" fontId="4" fillId="13" borderId="21" applyNumberFormat="0" applyFont="0" applyAlignment="0" applyProtection="0"/>
    <xf numFmtId="0" fontId="4" fillId="13" borderId="21" applyNumberFormat="0" applyFont="0" applyAlignment="0" applyProtection="0"/>
    <xf numFmtId="0" fontId="4" fillId="13" borderId="21" applyNumberFormat="0" applyFont="0" applyAlignment="0" applyProtection="0"/>
    <xf numFmtId="0" fontId="4" fillId="13" borderId="21" applyNumberFormat="0" applyFont="0" applyAlignment="0" applyProtection="0"/>
    <xf numFmtId="0" fontId="4" fillId="13" borderId="21" applyNumberFormat="0" applyFont="0" applyAlignment="0" applyProtection="0"/>
    <xf numFmtId="0" fontId="4" fillId="13" borderId="21" applyNumberFormat="0" applyFont="0" applyAlignment="0" applyProtection="0"/>
    <xf numFmtId="0" fontId="4" fillId="13" borderId="21" applyNumberFormat="0" applyFont="0" applyAlignment="0" applyProtection="0"/>
    <xf numFmtId="0" fontId="4" fillId="13" borderId="21" applyNumberFormat="0" applyFont="0" applyAlignment="0" applyProtection="0"/>
    <xf numFmtId="0" fontId="4" fillId="13" borderId="21" applyNumberFormat="0" applyFont="0" applyAlignment="0" applyProtection="0"/>
    <xf numFmtId="0" fontId="4" fillId="13" borderId="21" applyNumberFormat="0" applyFont="0" applyAlignment="0" applyProtection="0"/>
    <xf numFmtId="0" fontId="4" fillId="13" borderId="21" applyNumberFormat="0" applyFont="0" applyAlignment="0" applyProtection="0"/>
    <xf numFmtId="0" fontId="4" fillId="13" borderId="21" applyNumberFormat="0" applyFont="0" applyAlignment="0" applyProtection="0"/>
    <xf numFmtId="0" fontId="4" fillId="13" borderId="21" applyNumberFormat="0" applyFont="0" applyAlignment="0" applyProtection="0"/>
    <xf numFmtId="0" fontId="4" fillId="13" borderId="21" applyNumberFormat="0" applyFont="0" applyAlignment="0" applyProtection="0"/>
    <xf numFmtId="0" fontId="4" fillId="13" borderId="21" applyNumberFormat="0" applyFont="0" applyAlignment="0" applyProtection="0"/>
    <xf numFmtId="0" fontId="4" fillId="13" borderId="21" applyNumberFormat="0" applyFont="0" applyAlignment="0" applyProtection="0"/>
    <xf numFmtId="0" fontId="4" fillId="13" borderId="21" applyNumberFormat="0" applyFont="0" applyAlignment="0" applyProtection="0"/>
    <xf numFmtId="0" fontId="4" fillId="13" borderId="21" applyNumberFormat="0" applyFont="0" applyAlignment="0" applyProtection="0"/>
    <xf numFmtId="0" fontId="19" fillId="14" borderId="22" applyNumberFormat="0" applyAlignment="0" applyProtection="0"/>
    <xf numFmtId="0" fontId="19" fillId="14" borderId="22" applyNumberFormat="0" applyAlignment="0" applyProtection="0"/>
    <xf numFmtId="0" fontId="19" fillId="14" borderId="22" applyNumberFormat="0" applyAlignment="0" applyProtection="0"/>
    <xf numFmtId="0" fontId="19" fillId="14" borderId="22" applyNumberFormat="0" applyAlignment="0" applyProtection="0"/>
    <xf numFmtId="0" fontId="19" fillId="14" borderId="22" applyNumberFormat="0" applyAlignment="0" applyProtection="0"/>
    <xf numFmtId="0" fontId="19" fillId="14" borderId="22" applyNumberFormat="0" applyAlignment="0" applyProtection="0"/>
    <xf numFmtId="0" fontId="19" fillId="14" borderId="22" applyNumberFormat="0" applyAlignment="0" applyProtection="0"/>
    <xf numFmtId="0" fontId="19" fillId="14" borderId="22" applyNumberFormat="0" applyAlignment="0" applyProtection="0"/>
    <xf numFmtId="0" fontId="19" fillId="14" borderId="22" applyNumberFormat="0" applyAlignment="0" applyProtection="0"/>
    <xf numFmtId="0" fontId="19" fillId="14" borderId="22" applyNumberFormat="0" applyAlignment="0" applyProtection="0"/>
    <xf numFmtId="0" fontId="19" fillId="14" borderId="22" applyNumberFormat="0" applyAlignment="0" applyProtection="0"/>
    <xf numFmtId="0" fontId="19" fillId="14" borderId="22" applyNumberFormat="0" applyAlignment="0" applyProtection="0"/>
    <xf numFmtId="0" fontId="19" fillId="14" borderId="22" applyNumberFormat="0" applyAlignment="0" applyProtection="0"/>
    <xf numFmtId="0" fontId="19" fillId="14" borderId="22" applyNumberFormat="0" applyAlignment="0" applyProtection="0"/>
    <xf numFmtId="0" fontId="19" fillId="14" borderId="22" applyNumberFormat="0" applyAlignment="0" applyProtection="0"/>
    <xf numFmtId="0" fontId="19" fillId="14" borderId="22" applyNumberFormat="0" applyAlignment="0" applyProtection="0"/>
    <xf numFmtId="0" fontId="19" fillId="14" borderId="22" applyNumberFormat="0" applyAlignment="0" applyProtection="0"/>
    <xf numFmtId="0" fontId="19" fillId="14" borderId="22" applyNumberFormat="0" applyAlignment="0" applyProtection="0"/>
    <xf numFmtId="0" fontId="19" fillId="14" borderId="22" applyNumberFormat="0" applyAlignment="0" applyProtection="0"/>
    <xf numFmtId="0" fontId="13" fillId="0" borderId="23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23" borderId="24" applyNumberFormat="0" applyFont="0" applyProtection="0">
      <alignment horizontal="left"/>
    </xf>
    <xf numFmtId="0" fontId="5" fillId="23" borderId="24" applyNumberFormat="0" applyFont="0" applyProtection="0">
      <alignment horizontal="left"/>
    </xf>
    <xf numFmtId="0" fontId="5" fillId="23" borderId="24" applyNumberFormat="0" applyFont="0" applyProtection="0">
      <alignment horizontal="left"/>
    </xf>
    <xf numFmtId="0" fontId="5" fillId="23" borderId="25" applyNumberFormat="0" applyFont="0" applyAlignment="0" applyProtection="0"/>
    <xf numFmtId="0" fontId="5" fillId="23" borderId="25" applyNumberFormat="0" applyFont="0" applyAlignment="0" applyProtection="0"/>
    <xf numFmtId="0" fontId="5" fillId="23" borderId="25" applyNumberFormat="0" applyFont="0" applyAlignment="0" applyProtection="0"/>
    <xf numFmtId="0" fontId="9" fillId="24" borderId="0" applyNumberFormat="0" applyBorder="0">
      <alignment horizontal="center" wrapText="1"/>
    </xf>
    <xf numFmtId="0" fontId="9" fillId="24" borderId="0" applyNumberFormat="0" applyBorder="0">
      <alignment horizontal="center" wrapText="1"/>
    </xf>
    <xf numFmtId="0" fontId="9" fillId="24" borderId="0" applyNumberFormat="0" applyBorder="0">
      <alignment horizontal="center" wrapText="1"/>
    </xf>
    <xf numFmtId="0" fontId="5" fillId="23" borderId="26" applyNumberFormat="0" applyFont="0" applyAlignment="0" applyProtection="0"/>
    <xf numFmtId="0" fontId="5" fillId="23" borderId="26" applyNumberFormat="0" applyFont="0" applyAlignment="0" applyProtection="0"/>
    <xf numFmtId="0" fontId="5" fillId="23" borderId="26" applyNumberFormat="0" applyFont="0" applyAlignment="0" applyProtection="0"/>
    <xf numFmtId="0" fontId="5" fillId="25" borderId="24" applyNumberFormat="0" applyFont="0" applyProtection="0">
      <alignment horizontal="left"/>
    </xf>
    <xf numFmtId="0" fontId="5" fillId="25" borderId="24" applyNumberFormat="0" applyFont="0" applyProtection="0">
      <alignment horizontal="left"/>
    </xf>
    <xf numFmtId="0" fontId="5" fillId="25" borderId="24" applyNumberFormat="0" applyFont="0" applyProtection="0">
      <alignment horizontal="left"/>
    </xf>
    <xf numFmtId="0" fontId="5" fillId="25" borderId="25" applyNumberFormat="0" applyFont="0" applyAlignment="0" applyProtection="0"/>
    <xf numFmtId="0" fontId="5" fillId="25" borderId="25" applyNumberFormat="0" applyFont="0" applyAlignment="0" applyProtection="0"/>
    <xf numFmtId="0" fontId="5" fillId="25" borderId="25" applyNumberFormat="0" applyFont="0" applyAlignment="0" applyProtection="0"/>
    <xf numFmtId="0" fontId="5" fillId="25" borderId="27" applyNumberFormat="0" applyFont="0" applyAlignment="0" applyProtection="0"/>
    <xf numFmtId="0" fontId="5" fillId="25" borderId="27" applyNumberFormat="0" applyFont="0" applyAlignment="0" applyProtection="0"/>
    <xf numFmtId="0" fontId="5" fillId="25" borderId="27" applyNumberFormat="0" applyFont="0" applyAlignment="0" applyProtection="0"/>
    <xf numFmtId="0" fontId="5" fillId="25" borderId="26" applyNumberFormat="0" applyFont="0" applyAlignment="0" applyProtection="0"/>
    <xf numFmtId="0" fontId="5" fillId="25" borderId="26" applyNumberFormat="0" applyFont="0" applyAlignment="0" applyProtection="0"/>
    <xf numFmtId="0" fontId="5" fillId="25" borderId="26" applyNumberFormat="0" applyFont="0" applyAlignment="0" applyProtection="0"/>
    <xf numFmtId="0" fontId="5" fillId="26" borderId="26" applyNumberFormat="0" applyFont="0" applyProtection="0">
      <alignment horizontal="center" vertical="center"/>
    </xf>
    <xf numFmtId="0" fontId="5" fillId="26" borderId="26" applyNumberFormat="0" applyFont="0" applyProtection="0">
      <alignment horizontal="center" vertical="center"/>
    </xf>
    <xf numFmtId="0" fontId="5" fillId="26" borderId="26" applyNumberFormat="0" applyFont="0" applyProtection="0">
      <alignment horizontal="center" vertical="center"/>
    </xf>
    <xf numFmtId="0" fontId="10" fillId="23" borderId="26" applyNumberFormat="0" applyProtection="0">
      <alignment horizontal="center" vertical="center"/>
    </xf>
    <xf numFmtId="0" fontId="10" fillId="23" borderId="26" applyNumberFormat="0" applyProtection="0">
      <alignment horizontal="center" vertical="center"/>
    </xf>
    <xf numFmtId="0" fontId="10" fillId="23" borderId="26" applyNumberFormat="0" applyProtection="0">
      <alignment horizontal="center" vertical="center"/>
    </xf>
    <xf numFmtId="0" fontId="10" fillId="25" borderId="26" applyNumberFormat="0" applyProtection="0">
      <alignment horizontal="center" vertical="center"/>
    </xf>
    <xf numFmtId="0" fontId="10" fillId="25" borderId="26" applyNumberFormat="0" applyProtection="0">
      <alignment horizontal="center" vertical="center"/>
    </xf>
    <xf numFmtId="0" fontId="10" fillId="25" borderId="26" applyNumberFormat="0" applyProtection="0">
      <alignment horizontal="center" vertical="center"/>
    </xf>
    <xf numFmtId="0" fontId="11" fillId="23" borderId="0" applyNumberFormat="0"/>
    <xf numFmtId="0" fontId="11" fillId="23" borderId="0" applyNumberFormat="0"/>
    <xf numFmtId="0" fontId="11" fillId="23" borderId="0" applyNumberFormat="0"/>
    <xf numFmtId="0" fontId="5" fillId="23" borderId="24" applyNumberFormat="0">
      <alignment horizontal="left" vertical="center"/>
    </xf>
    <xf numFmtId="0" fontId="5" fillId="23" borderId="24" applyNumberFormat="0">
      <alignment horizontal="left" vertical="center"/>
    </xf>
    <xf numFmtId="0" fontId="5" fillId="23" borderId="24" applyNumberFormat="0">
      <alignment horizontal="left" vertical="center"/>
    </xf>
    <xf numFmtId="0" fontId="5" fillId="23" borderId="25" applyNumberFormat="0">
      <alignment horizontal="center" vertical="center"/>
    </xf>
    <xf numFmtId="0" fontId="5" fillId="23" borderId="25" applyNumberFormat="0">
      <alignment horizontal="center" vertical="center"/>
    </xf>
    <xf numFmtId="0" fontId="5" fillId="23" borderId="25" applyNumberFormat="0">
      <alignment horizontal="center" vertical="center"/>
    </xf>
    <xf numFmtId="0" fontId="5" fillId="23" borderId="27" applyNumberFormat="0">
      <alignment horizontal="center" vertical="center"/>
    </xf>
    <xf numFmtId="0" fontId="5" fillId="23" borderId="27" applyNumberFormat="0">
      <alignment horizontal="center" vertical="center"/>
    </xf>
    <xf numFmtId="0" fontId="5" fillId="23" borderId="27" applyNumberFormat="0">
      <alignment horizontal="center" vertical="center"/>
    </xf>
    <xf numFmtId="0" fontId="5" fillId="23" borderId="26" applyNumberFormat="0">
      <alignment horizontal="center" vertical="center"/>
    </xf>
    <xf numFmtId="0" fontId="5" fillId="23" borderId="26" applyNumberFormat="0">
      <alignment horizontal="center" vertical="center"/>
    </xf>
    <xf numFmtId="0" fontId="5" fillId="23" borderId="26" applyNumberFormat="0">
      <alignment horizontal="center" vertical="center"/>
    </xf>
    <xf numFmtId="0" fontId="5" fillId="27" borderId="24" applyNumberFormat="0">
      <alignment horizontal="left" vertical="center"/>
    </xf>
    <xf numFmtId="0" fontId="5" fillId="27" borderId="24" applyNumberFormat="0">
      <alignment horizontal="left" vertical="center"/>
    </xf>
    <xf numFmtId="0" fontId="5" fillId="27" borderId="24" applyNumberFormat="0">
      <alignment horizontal="left" vertical="center"/>
    </xf>
    <xf numFmtId="0" fontId="5" fillId="27" borderId="25" applyNumberFormat="0">
      <alignment horizontal="center" vertical="center"/>
    </xf>
    <xf numFmtId="0" fontId="5" fillId="27" borderId="25" applyNumberFormat="0">
      <alignment horizontal="center" vertical="center"/>
    </xf>
    <xf numFmtId="0" fontId="5" fillId="27" borderId="25" applyNumberFormat="0">
      <alignment horizontal="center" vertical="center"/>
    </xf>
    <xf numFmtId="0" fontId="5" fillId="27" borderId="27" applyNumberFormat="0">
      <alignment horizontal="center" vertical="center"/>
    </xf>
    <xf numFmtId="0" fontId="5" fillId="27" borderId="27" applyNumberFormat="0">
      <alignment horizontal="center" vertical="center"/>
    </xf>
    <xf numFmtId="0" fontId="5" fillId="27" borderId="27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10" fillId="23" borderId="26" applyNumberFormat="0">
      <alignment horizontal="center" vertical="center"/>
    </xf>
    <xf numFmtId="0" fontId="10" fillId="23" borderId="26" applyNumberFormat="0">
      <alignment horizontal="center" vertical="center"/>
    </xf>
    <xf numFmtId="0" fontId="10" fillId="23" borderId="26" applyNumberFormat="0">
      <alignment horizontal="center" vertical="center"/>
    </xf>
    <xf numFmtId="0" fontId="10" fillId="27" borderId="26" applyNumberFormat="0">
      <alignment horizontal="center" vertical="center"/>
    </xf>
    <xf numFmtId="0" fontId="10" fillId="27" borderId="26" applyNumberFormat="0">
      <alignment horizontal="center" vertical="center"/>
    </xf>
    <xf numFmtId="0" fontId="10" fillId="27" borderId="26" applyNumberFormat="0">
      <alignment horizontal="center" vertical="center"/>
    </xf>
    <xf numFmtId="0" fontId="5" fillId="23" borderId="24" applyNumberFormat="0">
      <alignment horizontal="left" vertical="center"/>
    </xf>
    <xf numFmtId="0" fontId="5" fillId="23" borderId="24" applyNumberFormat="0">
      <alignment horizontal="left" vertical="center"/>
    </xf>
    <xf numFmtId="0" fontId="5" fillId="23" borderId="24" applyNumberFormat="0">
      <alignment horizontal="left" vertical="center"/>
    </xf>
    <xf numFmtId="0" fontId="5" fillId="23" borderId="25" applyNumberFormat="0">
      <alignment horizontal="center" vertical="center"/>
    </xf>
    <xf numFmtId="0" fontId="5" fillId="23" borderId="25" applyNumberFormat="0">
      <alignment horizontal="center" vertical="center"/>
    </xf>
    <xf numFmtId="0" fontId="5" fillId="23" borderId="25" applyNumberFormat="0">
      <alignment horizontal="center" vertical="center"/>
    </xf>
    <xf numFmtId="0" fontId="5" fillId="23" borderId="27" applyNumberFormat="0">
      <alignment horizontal="center" vertical="center"/>
    </xf>
    <xf numFmtId="0" fontId="5" fillId="23" borderId="27" applyNumberFormat="0">
      <alignment horizontal="center" vertical="center"/>
    </xf>
    <xf numFmtId="0" fontId="5" fillId="23" borderId="27" applyNumberFormat="0">
      <alignment horizontal="center" vertical="center"/>
    </xf>
    <xf numFmtId="0" fontId="5" fillId="23" borderId="26" applyNumberFormat="0">
      <alignment horizontal="center" vertical="center"/>
    </xf>
    <xf numFmtId="0" fontId="5" fillId="23" borderId="26" applyNumberFormat="0">
      <alignment horizontal="center" vertical="center"/>
    </xf>
    <xf numFmtId="0" fontId="5" fillId="23" borderId="26" applyNumberFormat="0">
      <alignment horizontal="center" vertical="center"/>
    </xf>
    <xf numFmtId="0" fontId="5" fillId="27" borderId="24" applyNumberFormat="0">
      <alignment horizontal="left" vertical="center"/>
    </xf>
    <xf numFmtId="0" fontId="5" fillId="27" borderId="24" applyNumberFormat="0">
      <alignment horizontal="left" vertical="center"/>
    </xf>
    <xf numFmtId="0" fontId="5" fillId="27" borderId="24" applyNumberFormat="0">
      <alignment horizontal="left" vertical="center"/>
    </xf>
    <xf numFmtId="0" fontId="5" fillId="27" borderId="25" applyNumberFormat="0">
      <alignment horizontal="center" vertical="center"/>
    </xf>
    <xf numFmtId="0" fontId="5" fillId="27" borderId="25" applyNumberFormat="0">
      <alignment horizontal="center" vertical="center"/>
    </xf>
    <xf numFmtId="0" fontId="5" fillId="27" borderId="25" applyNumberFormat="0">
      <alignment horizontal="center" vertical="center"/>
    </xf>
    <xf numFmtId="0" fontId="5" fillId="27" borderId="27" applyNumberFormat="0">
      <alignment horizontal="center" vertical="center"/>
    </xf>
    <xf numFmtId="0" fontId="5" fillId="27" borderId="27" applyNumberFormat="0">
      <alignment horizontal="center" vertical="center"/>
    </xf>
    <xf numFmtId="0" fontId="5" fillId="27" borderId="27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9" fillId="24" borderId="0" applyNumberFormat="0" applyBorder="0">
      <alignment horizontal="center" wrapText="1"/>
    </xf>
    <xf numFmtId="0" fontId="9" fillId="24" borderId="0" applyNumberFormat="0" applyBorder="0">
      <alignment horizontal="center" wrapText="1"/>
    </xf>
    <xf numFmtId="0" fontId="9" fillId="24" borderId="0" applyNumberFormat="0" applyBorder="0">
      <alignment horizontal="center" wrapText="1"/>
    </xf>
    <xf numFmtId="0" fontId="5" fillId="23" borderId="24" applyNumberFormat="0">
      <alignment horizontal="left" vertical="center"/>
    </xf>
    <xf numFmtId="0" fontId="5" fillId="23" borderId="24" applyNumberFormat="0">
      <alignment horizontal="left" vertical="center"/>
    </xf>
    <xf numFmtId="0" fontId="5" fillId="23" borderId="24" applyNumberFormat="0">
      <alignment horizontal="left" vertical="center"/>
    </xf>
    <xf numFmtId="0" fontId="5" fillId="23" borderId="25" applyNumberFormat="0">
      <alignment horizontal="center" vertical="center"/>
    </xf>
    <xf numFmtId="0" fontId="5" fillId="23" borderId="25" applyNumberFormat="0">
      <alignment horizontal="center" vertical="center"/>
    </xf>
    <xf numFmtId="0" fontId="5" fillId="23" borderId="25" applyNumberFormat="0">
      <alignment horizontal="center" vertical="center"/>
    </xf>
    <xf numFmtId="0" fontId="5" fillId="23" borderId="27" applyNumberFormat="0">
      <alignment horizontal="center" vertical="center"/>
    </xf>
    <xf numFmtId="0" fontId="5" fillId="23" borderId="27" applyNumberFormat="0">
      <alignment horizontal="center" vertical="center"/>
    </xf>
    <xf numFmtId="0" fontId="5" fillId="23" borderId="27" applyNumberFormat="0">
      <alignment horizontal="center" vertical="center"/>
    </xf>
    <xf numFmtId="0" fontId="5" fillId="23" borderId="26" applyNumberFormat="0">
      <alignment horizontal="center" vertical="center"/>
    </xf>
    <xf numFmtId="0" fontId="5" fillId="23" borderId="26" applyNumberFormat="0">
      <alignment horizontal="center" vertical="center"/>
    </xf>
    <xf numFmtId="0" fontId="5" fillId="23" borderId="26" applyNumberFormat="0">
      <alignment horizontal="center" vertical="center"/>
    </xf>
    <xf numFmtId="0" fontId="5" fillId="27" borderId="24" applyNumberFormat="0">
      <alignment horizontal="left" vertical="center"/>
    </xf>
    <xf numFmtId="0" fontId="5" fillId="27" borderId="24" applyNumberFormat="0">
      <alignment horizontal="left" vertical="center"/>
    </xf>
    <xf numFmtId="0" fontId="5" fillId="27" borderId="24" applyNumberFormat="0">
      <alignment horizontal="left" vertical="center"/>
    </xf>
    <xf numFmtId="0" fontId="5" fillId="27" borderId="25" applyNumberFormat="0">
      <alignment horizontal="center" vertical="center"/>
    </xf>
    <xf numFmtId="0" fontId="5" fillId="27" borderId="25" applyNumberFormat="0">
      <alignment horizontal="center" vertical="center"/>
    </xf>
    <xf numFmtId="0" fontId="5" fillId="27" borderId="25" applyNumberFormat="0">
      <alignment horizontal="center" vertical="center"/>
    </xf>
    <xf numFmtId="0" fontId="5" fillId="27" borderId="27" applyNumberFormat="0">
      <alignment horizontal="center" vertical="center"/>
    </xf>
    <xf numFmtId="0" fontId="5" fillId="27" borderId="27" applyNumberFormat="0">
      <alignment horizontal="center" vertical="center"/>
    </xf>
    <xf numFmtId="0" fontId="5" fillId="27" borderId="27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5" fillId="23" borderId="24" applyNumberFormat="0">
      <alignment horizontal="left" vertical="center"/>
    </xf>
    <xf numFmtId="0" fontId="5" fillId="23" borderId="24" applyNumberFormat="0">
      <alignment horizontal="left" vertical="center"/>
    </xf>
    <xf numFmtId="0" fontId="5" fillId="23" borderId="24" applyNumberFormat="0">
      <alignment horizontal="left" vertical="center"/>
    </xf>
    <xf numFmtId="0" fontId="5" fillId="23" borderId="25" applyNumberFormat="0">
      <alignment horizontal="center" vertical="center"/>
    </xf>
    <xf numFmtId="0" fontId="5" fillId="23" borderId="25" applyNumberFormat="0">
      <alignment horizontal="center" vertical="center"/>
    </xf>
    <xf numFmtId="0" fontId="5" fillId="23" borderId="25" applyNumberFormat="0">
      <alignment horizontal="center" vertical="center"/>
    </xf>
    <xf numFmtId="0" fontId="5" fillId="23" borderId="27" applyNumberFormat="0">
      <alignment horizontal="center" vertical="center"/>
    </xf>
    <xf numFmtId="0" fontId="5" fillId="23" borderId="27" applyNumberFormat="0">
      <alignment horizontal="center" vertical="center"/>
    </xf>
    <xf numFmtId="0" fontId="5" fillId="23" borderId="27" applyNumberFormat="0">
      <alignment horizontal="center" vertical="center"/>
    </xf>
    <xf numFmtId="0" fontId="5" fillId="23" borderId="26" applyNumberFormat="0">
      <alignment horizontal="center" vertical="center"/>
    </xf>
    <xf numFmtId="0" fontId="5" fillId="23" borderId="26" applyNumberFormat="0">
      <alignment horizontal="center" vertical="center"/>
    </xf>
    <xf numFmtId="0" fontId="5" fillId="23" borderId="26" applyNumberFormat="0">
      <alignment horizontal="center" vertical="center"/>
    </xf>
    <xf numFmtId="0" fontId="5" fillId="27" borderId="24" applyNumberFormat="0">
      <alignment horizontal="left" vertical="center"/>
    </xf>
    <xf numFmtId="0" fontId="5" fillId="27" borderId="24" applyNumberFormat="0">
      <alignment horizontal="left" vertical="center"/>
    </xf>
    <xf numFmtId="0" fontId="5" fillId="27" borderId="24" applyNumberFormat="0">
      <alignment horizontal="left" vertical="center"/>
    </xf>
    <xf numFmtId="0" fontId="5" fillId="27" borderId="25" applyNumberFormat="0">
      <alignment horizontal="center" vertical="center"/>
    </xf>
    <xf numFmtId="0" fontId="5" fillId="27" borderId="25" applyNumberFormat="0">
      <alignment horizontal="center" vertical="center"/>
    </xf>
    <xf numFmtId="0" fontId="5" fillId="27" borderId="25" applyNumberFormat="0">
      <alignment horizontal="center" vertical="center"/>
    </xf>
    <xf numFmtId="0" fontId="5" fillId="27" borderId="27" applyNumberFormat="0">
      <alignment horizontal="center" vertical="center"/>
    </xf>
    <xf numFmtId="0" fontId="5" fillId="27" borderId="27" applyNumberFormat="0">
      <alignment horizontal="center" vertical="center"/>
    </xf>
    <xf numFmtId="0" fontId="5" fillId="27" borderId="27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10" fillId="23" borderId="26" applyNumberFormat="0">
      <alignment horizontal="center" vertical="center"/>
    </xf>
    <xf numFmtId="0" fontId="10" fillId="23" borderId="26" applyNumberFormat="0">
      <alignment horizontal="center" vertical="center"/>
    </xf>
    <xf numFmtId="0" fontId="10" fillId="23" borderId="26" applyNumberFormat="0">
      <alignment horizontal="center" vertical="center"/>
    </xf>
    <xf numFmtId="0" fontId="10" fillId="27" borderId="26" applyNumberFormat="0">
      <alignment horizontal="center" vertical="center"/>
    </xf>
    <xf numFmtId="0" fontId="10" fillId="27" borderId="26" applyNumberFormat="0">
      <alignment horizontal="center" vertical="center"/>
    </xf>
    <xf numFmtId="0" fontId="10" fillId="27" borderId="26" applyNumberFormat="0">
      <alignment horizontal="center" vertical="center"/>
    </xf>
    <xf numFmtId="0" fontId="9" fillId="24" borderId="0" applyNumberFormat="0" applyBorder="0">
      <alignment horizontal="center" wrapText="1"/>
    </xf>
    <xf numFmtId="0" fontId="9" fillId="24" borderId="0" applyNumberFormat="0" applyBorder="0">
      <alignment horizontal="center" wrapText="1"/>
    </xf>
    <xf numFmtId="0" fontId="9" fillId="24" borderId="0" applyNumberFormat="0" applyBorder="0">
      <alignment horizontal="center" wrapText="1"/>
    </xf>
    <xf numFmtId="0" fontId="11" fillId="23" borderId="0" applyNumberFormat="0"/>
    <xf numFmtId="0" fontId="11" fillId="23" borderId="0" applyNumberFormat="0"/>
    <xf numFmtId="0" fontId="11" fillId="23" borderId="0" applyNumberFormat="0"/>
    <xf numFmtId="0" fontId="5" fillId="23" borderId="24" applyNumberFormat="0">
      <alignment horizontal="left" vertical="center"/>
    </xf>
    <xf numFmtId="0" fontId="5" fillId="23" borderId="24" applyNumberFormat="0">
      <alignment horizontal="left" vertical="center"/>
    </xf>
    <xf numFmtId="0" fontId="5" fillId="23" borderId="24" applyNumberFormat="0">
      <alignment horizontal="left" vertical="center"/>
    </xf>
    <xf numFmtId="0" fontId="5" fillId="23" borderId="25" applyNumberFormat="0">
      <alignment horizontal="center" vertical="center"/>
    </xf>
    <xf numFmtId="0" fontId="5" fillId="23" borderId="25" applyNumberFormat="0">
      <alignment horizontal="center" vertical="center"/>
    </xf>
    <xf numFmtId="0" fontId="5" fillId="23" borderId="25" applyNumberFormat="0">
      <alignment horizontal="center" vertical="center"/>
    </xf>
    <xf numFmtId="0" fontId="5" fillId="23" borderId="27" applyNumberFormat="0">
      <alignment horizontal="center" vertical="center"/>
    </xf>
    <xf numFmtId="0" fontId="5" fillId="23" borderId="27" applyNumberFormat="0">
      <alignment horizontal="center" vertical="center"/>
    </xf>
    <xf numFmtId="0" fontId="5" fillId="23" borderId="27" applyNumberFormat="0">
      <alignment horizontal="center" vertical="center"/>
    </xf>
    <xf numFmtId="0" fontId="5" fillId="23" borderId="26" applyNumberFormat="0">
      <alignment horizontal="center" vertical="center"/>
    </xf>
    <xf numFmtId="0" fontId="5" fillId="23" borderId="26" applyNumberFormat="0">
      <alignment horizontal="center" vertical="center"/>
    </xf>
    <xf numFmtId="0" fontId="5" fillId="23" borderId="26" applyNumberFormat="0">
      <alignment horizontal="center" vertical="center"/>
    </xf>
    <xf numFmtId="0" fontId="5" fillId="27" borderId="24" applyNumberFormat="0">
      <alignment horizontal="left" vertical="center"/>
    </xf>
    <xf numFmtId="0" fontId="5" fillId="27" borderId="24" applyNumberFormat="0">
      <alignment horizontal="left" vertical="center"/>
    </xf>
    <xf numFmtId="0" fontId="5" fillId="27" borderId="24" applyNumberFormat="0">
      <alignment horizontal="left" vertical="center"/>
    </xf>
    <xf numFmtId="0" fontId="5" fillId="27" borderId="25" applyNumberFormat="0">
      <alignment horizontal="center" vertical="center"/>
    </xf>
    <xf numFmtId="0" fontId="5" fillId="27" borderId="25" applyNumberFormat="0">
      <alignment horizontal="center" vertical="center"/>
    </xf>
    <xf numFmtId="0" fontId="5" fillId="27" borderId="25" applyNumberFormat="0">
      <alignment horizontal="center" vertical="center"/>
    </xf>
    <xf numFmtId="0" fontId="5" fillId="27" borderId="27" applyNumberFormat="0">
      <alignment horizontal="center" vertical="center"/>
    </xf>
    <xf numFmtId="0" fontId="5" fillId="27" borderId="27" applyNumberFormat="0">
      <alignment horizontal="center" vertical="center"/>
    </xf>
    <xf numFmtId="0" fontId="5" fillId="27" borderId="27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5" fillId="23" borderId="24" applyNumberFormat="0">
      <alignment horizontal="left" vertical="center"/>
    </xf>
    <xf numFmtId="0" fontId="5" fillId="23" borderId="24" applyNumberFormat="0">
      <alignment horizontal="left" vertical="center"/>
    </xf>
    <xf numFmtId="0" fontId="5" fillId="23" borderId="24" applyNumberFormat="0">
      <alignment horizontal="left" vertical="center"/>
    </xf>
    <xf numFmtId="0" fontId="5" fillId="23" borderId="25" applyNumberFormat="0">
      <alignment horizontal="center" vertical="center"/>
    </xf>
    <xf numFmtId="0" fontId="5" fillId="23" borderId="25" applyNumberFormat="0">
      <alignment horizontal="center" vertical="center"/>
    </xf>
    <xf numFmtId="0" fontId="5" fillId="23" borderId="25" applyNumberFormat="0">
      <alignment horizontal="center" vertical="center"/>
    </xf>
    <xf numFmtId="0" fontId="5" fillId="23" borderId="27" applyNumberFormat="0">
      <alignment horizontal="center" vertical="center"/>
    </xf>
    <xf numFmtId="0" fontId="5" fillId="23" borderId="27" applyNumberFormat="0">
      <alignment horizontal="center" vertical="center"/>
    </xf>
    <xf numFmtId="0" fontId="5" fillId="23" borderId="27" applyNumberFormat="0">
      <alignment horizontal="center" vertical="center"/>
    </xf>
    <xf numFmtId="0" fontId="5" fillId="23" borderId="26" applyNumberFormat="0">
      <alignment horizontal="center" vertical="center"/>
    </xf>
    <xf numFmtId="0" fontId="5" fillId="23" borderId="26" applyNumberFormat="0">
      <alignment horizontal="center" vertical="center"/>
    </xf>
    <xf numFmtId="0" fontId="5" fillId="23" borderId="26" applyNumberFormat="0">
      <alignment horizontal="center" vertical="center"/>
    </xf>
    <xf numFmtId="0" fontId="5" fillId="27" borderId="24" applyNumberFormat="0">
      <alignment horizontal="left" vertical="center"/>
    </xf>
    <xf numFmtId="0" fontId="5" fillId="27" borderId="24" applyNumberFormat="0">
      <alignment horizontal="left" vertical="center"/>
    </xf>
    <xf numFmtId="0" fontId="5" fillId="27" borderId="24" applyNumberFormat="0">
      <alignment horizontal="left" vertical="center"/>
    </xf>
    <xf numFmtId="0" fontId="5" fillId="27" borderId="25" applyNumberFormat="0">
      <alignment horizontal="center" vertical="center"/>
    </xf>
    <xf numFmtId="0" fontId="5" fillId="27" borderId="25" applyNumberFormat="0">
      <alignment horizontal="center" vertical="center"/>
    </xf>
    <xf numFmtId="0" fontId="5" fillId="27" borderId="25" applyNumberFormat="0">
      <alignment horizontal="center" vertical="center"/>
    </xf>
    <xf numFmtId="0" fontId="5" fillId="27" borderId="27" applyNumberFormat="0">
      <alignment horizontal="center" vertical="center"/>
    </xf>
    <xf numFmtId="0" fontId="5" fillId="27" borderId="27" applyNumberFormat="0">
      <alignment horizontal="center" vertical="center"/>
    </xf>
    <xf numFmtId="0" fontId="5" fillId="27" borderId="27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5" fillId="23" borderId="25" applyNumberFormat="0" applyFont="0"/>
    <xf numFmtId="0" fontId="5" fillId="23" borderId="25" applyNumberFormat="0" applyFont="0"/>
    <xf numFmtId="0" fontId="5" fillId="23" borderId="25" applyNumberFormat="0" applyFont="0"/>
    <xf numFmtId="0" fontId="5" fillId="25" borderId="25" applyNumberFormat="0" applyFont="0"/>
    <xf numFmtId="0" fontId="5" fillId="25" borderId="25" applyNumberFormat="0" applyFont="0"/>
    <xf numFmtId="0" fontId="5" fillId="25" borderId="25" applyNumberFormat="0" applyFont="0"/>
    <xf numFmtId="0" fontId="9" fillId="24" borderId="0" applyNumberFormat="0" applyBorder="0">
      <alignment horizontal="center" wrapText="1"/>
    </xf>
    <xf numFmtId="0" fontId="9" fillId="24" borderId="0" applyNumberFormat="0" applyBorder="0">
      <alignment horizontal="center" wrapText="1"/>
    </xf>
    <xf numFmtId="0" fontId="9" fillId="24" borderId="0" applyNumberFormat="0" applyBorder="0">
      <alignment horizontal="center" wrapText="1"/>
    </xf>
    <xf numFmtId="0" fontId="9" fillId="24" borderId="0" applyNumberFormat="0" applyBorder="0">
      <alignment horizontal="center" wrapText="1"/>
    </xf>
    <xf numFmtId="0" fontId="9" fillId="24" borderId="0" applyNumberFormat="0" applyBorder="0">
      <alignment horizontal="center" wrapText="1"/>
    </xf>
    <xf numFmtId="0" fontId="9" fillId="24" borderId="0" applyNumberFormat="0" applyBorder="0">
      <alignment horizontal="center" wrapText="1"/>
    </xf>
    <xf numFmtId="0" fontId="5" fillId="23" borderId="24" applyNumberFormat="0"/>
    <xf numFmtId="0" fontId="5" fillId="23" borderId="24" applyNumberFormat="0"/>
    <xf numFmtId="0" fontId="5" fillId="23" borderId="24" applyNumberFormat="0"/>
    <xf numFmtId="0" fontId="5" fillId="23" borderId="25" applyNumberFormat="0"/>
    <xf numFmtId="0" fontId="5" fillId="23" borderId="25" applyNumberFormat="0"/>
    <xf numFmtId="0" fontId="5" fillId="23" borderId="25" applyNumberFormat="0"/>
    <xf numFmtId="0" fontId="5" fillId="23" borderId="27" applyNumberFormat="0"/>
    <xf numFmtId="0" fontId="5" fillId="23" borderId="27" applyNumberFormat="0"/>
    <xf numFmtId="0" fontId="5" fillId="23" borderId="27" applyNumberFormat="0"/>
    <xf numFmtId="0" fontId="5" fillId="23" borderId="26" applyNumberFormat="0"/>
    <xf numFmtId="0" fontId="5" fillId="23" borderId="26" applyNumberFormat="0"/>
    <xf numFmtId="0" fontId="5" fillId="23" borderId="26" applyNumberFormat="0"/>
    <xf numFmtId="0" fontId="5" fillId="25" borderId="24" applyNumberFormat="0"/>
    <xf numFmtId="0" fontId="5" fillId="25" borderId="24" applyNumberFormat="0"/>
    <xf numFmtId="0" fontId="5" fillId="25" borderId="24" applyNumberFormat="0"/>
    <xf numFmtId="0" fontId="5" fillId="25" borderId="25" applyNumberFormat="0"/>
    <xf numFmtId="0" fontId="5" fillId="25" borderId="25" applyNumberFormat="0"/>
    <xf numFmtId="0" fontId="5" fillId="25" borderId="25" applyNumberFormat="0"/>
    <xf numFmtId="0" fontId="5" fillId="25" borderId="27" applyNumberFormat="0"/>
    <xf numFmtId="0" fontId="5" fillId="25" borderId="27" applyNumberFormat="0"/>
    <xf numFmtId="0" fontId="5" fillId="25" borderId="27" applyNumberFormat="0"/>
    <xf numFmtId="0" fontId="5" fillId="25" borderId="26" applyNumberFormat="0"/>
    <xf numFmtId="0" fontId="5" fillId="25" borderId="26" applyNumberFormat="0"/>
    <xf numFmtId="0" fontId="5" fillId="25" borderId="26" applyNumberFormat="0"/>
    <xf numFmtId="0" fontId="5" fillId="23" borderId="24" applyNumberFormat="0"/>
    <xf numFmtId="0" fontId="5" fillId="23" borderId="24" applyNumberFormat="0"/>
    <xf numFmtId="0" fontId="5" fillId="23" borderId="24" applyNumberFormat="0"/>
    <xf numFmtId="0" fontId="5" fillId="23" borderId="25" applyNumberFormat="0"/>
    <xf numFmtId="0" fontId="5" fillId="23" borderId="25" applyNumberFormat="0"/>
    <xf numFmtId="0" fontId="5" fillId="23" borderId="25" applyNumberFormat="0"/>
    <xf numFmtId="0" fontId="5" fillId="23" borderId="27" applyNumberFormat="0"/>
    <xf numFmtId="0" fontId="5" fillId="23" borderId="27" applyNumberFormat="0"/>
    <xf numFmtId="0" fontId="5" fillId="23" borderId="27" applyNumberFormat="0"/>
    <xf numFmtId="0" fontId="5" fillId="23" borderId="26" applyNumberFormat="0"/>
    <xf numFmtId="0" fontId="5" fillId="23" borderId="26" applyNumberFormat="0"/>
    <xf numFmtId="0" fontId="5" fillId="23" borderId="26" applyNumberFormat="0"/>
    <xf numFmtId="0" fontId="5" fillId="27" borderId="24" applyNumberFormat="0"/>
    <xf numFmtId="0" fontId="5" fillId="27" borderId="24" applyNumberFormat="0"/>
    <xf numFmtId="0" fontId="5" fillId="27" borderId="24" applyNumberFormat="0"/>
    <xf numFmtId="0" fontId="5" fillId="27" borderId="25" applyNumberFormat="0"/>
    <xf numFmtId="0" fontId="5" fillId="27" borderId="25" applyNumberFormat="0"/>
    <xf numFmtId="0" fontId="5" fillId="27" borderId="25" applyNumberFormat="0"/>
    <xf numFmtId="0" fontId="5" fillId="27" borderId="27" applyNumberFormat="0"/>
    <xf numFmtId="0" fontId="5" fillId="27" borderId="27" applyNumberFormat="0"/>
    <xf numFmtId="0" fontId="5" fillId="27" borderId="27" applyNumberFormat="0"/>
    <xf numFmtId="0" fontId="5" fillId="27" borderId="26" applyNumberFormat="0"/>
    <xf numFmtId="0" fontId="5" fillId="27" borderId="26" applyNumberFormat="0"/>
    <xf numFmtId="0" fontId="5" fillId="27" borderId="26" applyNumberFormat="0"/>
    <xf numFmtId="0" fontId="9" fillId="24" borderId="0" applyNumberFormat="0" applyBorder="0">
      <alignment horizontal="center" wrapText="1"/>
    </xf>
    <xf numFmtId="0" fontId="9" fillId="24" borderId="0" applyNumberFormat="0" applyBorder="0">
      <alignment horizontal="center" wrapText="1"/>
    </xf>
    <xf numFmtId="0" fontId="9" fillId="24" borderId="0" applyNumberFormat="0" applyBorder="0">
      <alignment horizontal="center" wrapText="1"/>
    </xf>
    <xf numFmtId="0" fontId="5" fillId="23" borderId="24" applyNumberFormat="0">
      <alignment horizontal="left"/>
    </xf>
    <xf numFmtId="0" fontId="5" fillId="23" borderId="24" applyNumberFormat="0">
      <alignment horizontal="left"/>
    </xf>
    <xf numFmtId="0" fontId="5" fillId="23" borderId="24" applyNumberFormat="0">
      <alignment horizontal="left"/>
    </xf>
    <xf numFmtId="0" fontId="5" fillId="23" borderId="25" applyNumberFormat="0"/>
    <xf numFmtId="0" fontId="5" fillId="23" borderId="25" applyNumberFormat="0"/>
    <xf numFmtId="0" fontId="5" fillId="23" borderId="25" applyNumberFormat="0"/>
    <xf numFmtId="0" fontId="5" fillId="23" borderId="27" applyNumberFormat="0"/>
    <xf numFmtId="0" fontId="5" fillId="23" borderId="27" applyNumberFormat="0"/>
    <xf numFmtId="0" fontId="5" fillId="23" borderId="27" applyNumberFormat="0"/>
    <xf numFmtId="0" fontId="5" fillId="23" borderId="26" applyNumberFormat="0"/>
    <xf numFmtId="0" fontId="5" fillId="23" borderId="26" applyNumberFormat="0"/>
    <xf numFmtId="0" fontId="5" fillId="23" borderId="26" applyNumberFormat="0"/>
    <xf numFmtId="0" fontId="5" fillId="27" borderId="24" applyNumberFormat="0">
      <alignment horizontal="left"/>
    </xf>
    <xf numFmtId="0" fontId="5" fillId="27" borderId="24" applyNumberFormat="0">
      <alignment horizontal="left"/>
    </xf>
    <xf numFmtId="0" fontId="5" fillId="27" borderId="24" applyNumberFormat="0">
      <alignment horizontal="left"/>
    </xf>
    <xf numFmtId="0" fontId="5" fillId="27" borderId="25" applyNumberFormat="0"/>
    <xf numFmtId="0" fontId="5" fillId="27" borderId="25" applyNumberFormat="0"/>
    <xf numFmtId="0" fontId="5" fillId="27" borderId="25" applyNumberFormat="0"/>
    <xf numFmtId="0" fontId="5" fillId="27" borderId="27" applyNumberFormat="0"/>
    <xf numFmtId="0" fontId="5" fillId="27" borderId="27" applyNumberFormat="0"/>
    <xf numFmtId="0" fontId="5" fillId="27" borderId="27" applyNumberFormat="0"/>
    <xf numFmtId="0" fontId="5" fillId="27" borderId="26" applyNumberFormat="0"/>
    <xf numFmtId="0" fontId="5" fillId="27" borderId="26" applyNumberFormat="0"/>
    <xf numFmtId="0" fontId="5" fillId="27" borderId="26" applyNumberFormat="0"/>
    <xf numFmtId="0" fontId="9" fillId="24" borderId="0" applyNumberFormat="0" applyBorder="0" applyProtection="0">
      <alignment horizontal="center" wrapText="1"/>
    </xf>
    <xf numFmtId="0" fontId="9" fillId="24" borderId="0" applyNumberFormat="0" applyBorder="0" applyProtection="0">
      <alignment horizontal="center" wrapText="1"/>
    </xf>
    <xf numFmtId="0" fontId="9" fillId="24" borderId="0" applyNumberFormat="0" applyBorder="0" applyProtection="0">
      <alignment horizontal="center" wrapText="1"/>
    </xf>
    <xf numFmtId="0" fontId="11" fillId="23" borderId="0" applyNumberFormat="0" applyAlignment="0" applyProtection="0"/>
    <xf numFmtId="0" fontId="11" fillId="23" borderId="0" applyNumberFormat="0" applyAlignment="0" applyProtection="0"/>
    <xf numFmtId="0" fontId="11" fillId="23" borderId="0" applyNumberFormat="0" applyAlignment="0" applyProtection="0"/>
    <xf numFmtId="0" fontId="12" fillId="23" borderId="0" applyNumberFormat="0" applyBorder="0" applyProtection="0">
      <alignment horizontal="right"/>
    </xf>
    <xf numFmtId="0" fontId="12" fillId="23" borderId="0" applyNumberFormat="0" applyBorder="0" applyProtection="0">
      <alignment horizontal="right"/>
    </xf>
    <xf numFmtId="0" fontId="12" fillId="23" borderId="0" applyNumberFormat="0" applyBorder="0" applyProtection="0">
      <alignment horizontal="right"/>
    </xf>
    <xf numFmtId="0" fontId="9" fillId="24" borderId="0" applyNumberFormat="0" applyBorder="0">
      <alignment horizontal="center" wrapText="1"/>
    </xf>
    <xf numFmtId="0" fontId="9" fillId="24" borderId="0" applyNumberFormat="0" applyBorder="0">
      <alignment horizontal="center" wrapText="1"/>
    </xf>
    <xf numFmtId="0" fontId="9" fillId="24" borderId="0" applyNumberFormat="0" applyBorder="0">
      <alignment horizontal="center" wrapText="1"/>
    </xf>
    <xf numFmtId="0" fontId="5" fillId="28" borderId="0" applyNumberFormat="0" applyBorder="0"/>
    <xf numFmtId="0" fontId="5" fillId="28" borderId="0" applyNumberFormat="0" applyBorder="0"/>
    <xf numFmtId="0" fontId="5" fillId="28" borderId="0" applyNumberFormat="0" applyBorder="0"/>
    <xf numFmtId="0" fontId="5" fillId="28" borderId="0" applyNumberFormat="0" applyBorder="0">
      <alignment horizontal="center"/>
    </xf>
    <xf numFmtId="0" fontId="5" fillId="28" borderId="0" applyNumberFormat="0" applyBorder="0">
      <alignment horizontal="center"/>
    </xf>
    <xf numFmtId="0" fontId="5" fillId="28" borderId="0" applyNumberFormat="0" applyBorder="0">
      <alignment horizontal="center"/>
    </xf>
    <xf numFmtId="0" fontId="5" fillId="23" borderId="0" applyNumberFormat="0" applyBorder="0"/>
    <xf numFmtId="0" fontId="5" fillId="23" borderId="0" applyNumberFormat="0" applyBorder="0"/>
    <xf numFmtId="0" fontId="5" fillId="23" borderId="0" applyNumberFormat="0" applyBorder="0"/>
    <xf numFmtId="0" fontId="5" fillId="26" borderId="0" applyNumberFormat="0" applyBorder="0"/>
    <xf numFmtId="0" fontId="5" fillId="26" borderId="0" applyNumberFormat="0" applyBorder="0"/>
    <xf numFmtId="0" fontId="5" fillId="26" borderId="0" applyNumberFormat="0" applyBorder="0"/>
    <xf numFmtId="0" fontId="5" fillId="28" borderId="0" applyNumberFormat="0" applyBorder="0"/>
    <xf numFmtId="0" fontId="5" fillId="28" borderId="0" applyNumberFormat="0" applyBorder="0"/>
    <xf numFmtId="0" fontId="5" fillId="28" borderId="0" applyNumberFormat="0" applyBorder="0"/>
    <xf numFmtId="0" fontId="5" fillId="28" borderId="0" applyNumberFormat="0" applyBorder="0">
      <alignment horizontal="center"/>
    </xf>
    <xf numFmtId="0" fontId="5" fillId="28" borderId="0" applyNumberFormat="0" applyBorder="0">
      <alignment horizontal="center"/>
    </xf>
    <xf numFmtId="0" fontId="5" fillId="28" borderId="0" applyNumberFormat="0" applyBorder="0">
      <alignment horizontal="center"/>
    </xf>
    <xf numFmtId="0" fontId="5" fillId="23" borderId="0" applyNumberFormat="0" applyBorder="0"/>
    <xf numFmtId="0" fontId="5" fillId="23" borderId="0" applyNumberFormat="0" applyBorder="0"/>
    <xf numFmtId="0" fontId="5" fillId="23" borderId="0" applyNumberFormat="0" applyBorder="0"/>
    <xf numFmtId="0" fontId="5" fillId="26" borderId="0" applyNumberFormat="0" applyBorder="0"/>
    <xf numFmtId="0" fontId="5" fillId="26" borderId="0" applyNumberFormat="0" applyBorder="0"/>
    <xf numFmtId="0" fontId="5" fillId="26" borderId="0" applyNumberFormat="0" applyBorder="0"/>
    <xf numFmtId="0" fontId="5" fillId="28" borderId="0" applyNumberFormat="0" applyBorder="0"/>
    <xf numFmtId="0" fontId="5" fillId="28" borderId="0" applyNumberFormat="0" applyBorder="0"/>
    <xf numFmtId="0" fontId="5" fillId="28" borderId="0" applyNumberFormat="0" applyBorder="0"/>
    <xf numFmtId="0" fontId="5" fillId="28" borderId="0" applyNumberFormat="0" applyBorder="0">
      <alignment horizontal="center"/>
    </xf>
    <xf numFmtId="0" fontId="5" fillId="28" borderId="0" applyNumberFormat="0" applyBorder="0">
      <alignment horizontal="center"/>
    </xf>
    <xf numFmtId="0" fontId="5" fillId="28" borderId="0" applyNumberFormat="0" applyBorder="0">
      <alignment horizontal="center"/>
    </xf>
    <xf numFmtId="0" fontId="5" fillId="23" borderId="0" applyNumberFormat="0" applyBorder="0"/>
    <xf numFmtId="0" fontId="5" fillId="23" borderId="0" applyNumberFormat="0" applyBorder="0"/>
    <xf numFmtId="0" fontId="5" fillId="23" borderId="0" applyNumberFormat="0" applyBorder="0"/>
    <xf numFmtId="0" fontId="5" fillId="26" borderId="0" applyNumberFormat="0" applyBorder="0"/>
    <xf numFmtId="0" fontId="5" fillId="26" borderId="0" applyNumberFormat="0" applyBorder="0"/>
    <xf numFmtId="0" fontId="5" fillId="26" borderId="0" applyNumberFormat="0" applyBorder="0"/>
    <xf numFmtId="0" fontId="5" fillId="28" borderId="0" applyNumberFormat="0" applyBorder="0"/>
    <xf numFmtId="0" fontId="5" fillId="28" borderId="0" applyNumberFormat="0" applyBorder="0"/>
    <xf numFmtId="0" fontId="5" fillId="28" borderId="0" applyNumberFormat="0" applyBorder="0"/>
    <xf numFmtId="0" fontId="5" fillId="28" borderId="0" applyNumberFormat="0" applyBorder="0">
      <alignment horizontal="center"/>
    </xf>
    <xf numFmtId="0" fontId="5" fillId="28" borderId="0" applyNumberFormat="0" applyBorder="0">
      <alignment horizontal="center"/>
    </xf>
    <xf numFmtId="0" fontId="5" fillId="28" borderId="0" applyNumberFormat="0" applyBorder="0">
      <alignment horizontal="center"/>
    </xf>
    <xf numFmtId="0" fontId="5" fillId="23" borderId="0" applyNumberFormat="0" applyBorder="0"/>
    <xf numFmtId="0" fontId="5" fillId="23" borderId="0" applyNumberFormat="0" applyBorder="0"/>
    <xf numFmtId="0" fontId="5" fillId="23" borderId="0" applyNumberFormat="0" applyBorder="0"/>
    <xf numFmtId="0" fontId="5" fillId="26" borderId="0" applyNumberFormat="0" applyBorder="0"/>
    <xf numFmtId="0" fontId="5" fillId="26" borderId="0" applyNumberFormat="0" applyBorder="0"/>
    <xf numFmtId="0" fontId="5" fillId="26" borderId="0" applyNumberFormat="0" applyBorder="0"/>
    <xf numFmtId="0" fontId="5" fillId="28" borderId="0" applyNumberFormat="0" applyBorder="0"/>
    <xf numFmtId="0" fontId="5" fillId="28" borderId="0" applyNumberFormat="0" applyBorder="0"/>
    <xf numFmtId="0" fontId="5" fillId="28" borderId="0" applyNumberFormat="0" applyBorder="0"/>
    <xf numFmtId="0" fontId="5" fillId="28" borderId="0" applyNumberFormat="0" applyBorder="0">
      <alignment horizontal="center"/>
    </xf>
    <xf numFmtId="0" fontId="5" fillId="28" borderId="0" applyNumberFormat="0" applyBorder="0">
      <alignment horizontal="center"/>
    </xf>
    <xf numFmtId="0" fontId="5" fillId="28" borderId="0" applyNumberFormat="0" applyBorder="0">
      <alignment horizontal="center"/>
    </xf>
    <xf numFmtId="0" fontId="5" fillId="23" borderId="0" applyNumberFormat="0" applyBorder="0"/>
    <xf numFmtId="0" fontId="5" fillId="23" borderId="0" applyNumberFormat="0" applyBorder="0"/>
    <xf numFmtId="0" fontId="5" fillId="23" borderId="0" applyNumberFormat="0" applyBorder="0"/>
    <xf numFmtId="0" fontId="5" fillId="26" borderId="0" applyNumberFormat="0" applyBorder="0"/>
    <xf numFmtId="0" fontId="5" fillId="26" borderId="0" applyNumberFormat="0" applyBorder="0"/>
    <xf numFmtId="0" fontId="5" fillId="26" borderId="0" applyNumberFormat="0" applyBorder="0"/>
    <xf numFmtId="0" fontId="5" fillId="28" borderId="0" applyNumberFormat="0" applyBorder="0"/>
    <xf numFmtId="0" fontId="5" fillId="28" borderId="0" applyNumberFormat="0" applyBorder="0"/>
    <xf numFmtId="0" fontId="5" fillId="28" borderId="0" applyNumberFormat="0" applyBorder="0"/>
    <xf numFmtId="0" fontId="5" fillId="28" borderId="0" applyNumberFormat="0" applyBorder="0">
      <alignment horizontal="center"/>
    </xf>
    <xf numFmtId="0" fontId="5" fillId="28" borderId="0" applyNumberFormat="0" applyBorder="0">
      <alignment horizontal="center"/>
    </xf>
    <xf numFmtId="0" fontId="5" fillId="28" borderId="0" applyNumberFormat="0" applyBorder="0">
      <alignment horizontal="center"/>
    </xf>
    <xf numFmtId="0" fontId="5" fillId="23" borderId="0" applyNumberFormat="0" applyBorder="0"/>
    <xf numFmtId="0" fontId="5" fillId="23" borderId="0" applyNumberFormat="0" applyBorder="0"/>
    <xf numFmtId="0" fontId="5" fillId="23" borderId="0" applyNumberFormat="0" applyBorder="0"/>
    <xf numFmtId="0" fontId="5" fillId="26" borderId="0" applyNumberFormat="0" applyBorder="0"/>
    <xf numFmtId="0" fontId="5" fillId="26" borderId="0" applyNumberFormat="0" applyBorder="0"/>
    <xf numFmtId="0" fontId="5" fillId="26" borderId="0" applyNumberFormat="0" applyBorder="0"/>
    <xf numFmtId="0" fontId="5" fillId="28" borderId="0" applyNumberFormat="0" applyBorder="0"/>
    <xf numFmtId="0" fontId="5" fillId="28" borderId="0" applyNumberFormat="0" applyBorder="0"/>
    <xf numFmtId="0" fontId="5" fillId="28" borderId="0" applyNumberFormat="0" applyBorder="0"/>
    <xf numFmtId="0" fontId="5" fillId="28" borderId="0" applyNumberFormat="0" applyBorder="0">
      <alignment horizontal="center"/>
    </xf>
    <xf numFmtId="0" fontId="5" fillId="28" borderId="0" applyNumberFormat="0" applyBorder="0">
      <alignment horizontal="center"/>
    </xf>
    <xf numFmtId="0" fontId="5" fillId="28" borderId="0" applyNumberFormat="0" applyBorder="0">
      <alignment horizontal="center"/>
    </xf>
    <xf numFmtId="0" fontId="5" fillId="23" borderId="0" applyNumberFormat="0" applyBorder="0"/>
    <xf numFmtId="0" fontId="5" fillId="23" borderId="0" applyNumberFormat="0" applyBorder="0"/>
    <xf numFmtId="0" fontId="5" fillId="23" borderId="0" applyNumberFormat="0" applyBorder="0"/>
    <xf numFmtId="0" fontId="5" fillId="26" borderId="0" applyNumberFormat="0" applyBorder="0"/>
    <xf numFmtId="0" fontId="5" fillId="26" borderId="0" applyNumberFormat="0" applyBorder="0"/>
    <xf numFmtId="0" fontId="5" fillId="26" borderId="0" applyNumberFormat="0" applyBorder="0"/>
    <xf numFmtId="0" fontId="5" fillId="28" borderId="0" applyNumberFormat="0" applyBorder="0"/>
    <xf numFmtId="0" fontId="5" fillId="28" borderId="0" applyNumberFormat="0" applyBorder="0"/>
    <xf numFmtId="0" fontId="5" fillId="28" borderId="0" applyNumberFormat="0" applyBorder="0"/>
    <xf numFmtId="0" fontId="5" fillId="28" borderId="0" applyNumberFormat="0" applyBorder="0">
      <alignment horizontal="center"/>
    </xf>
    <xf numFmtId="0" fontId="5" fillId="28" borderId="0" applyNumberFormat="0" applyBorder="0">
      <alignment horizontal="center"/>
    </xf>
    <xf numFmtId="0" fontId="5" fillId="28" borderId="0" applyNumberFormat="0" applyBorder="0">
      <alignment horizontal="center"/>
    </xf>
    <xf numFmtId="0" fontId="5" fillId="23" borderId="0" applyNumberFormat="0" applyBorder="0"/>
    <xf numFmtId="0" fontId="5" fillId="23" borderId="0" applyNumberFormat="0" applyBorder="0"/>
    <xf numFmtId="0" fontId="5" fillId="23" borderId="0" applyNumberFormat="0" applyBorder="0"/>
    <xf numFmtId="0" fontId="5" fillId="26" borderId="0" applyNumberFormat="0" applyBorder="0"/>
    <xf numFmtId="0" fontId="5" fillId="26" borderId="0" applyNumberFormat="0" applyBorder="0"/>
    <xf numFmtId="0" fontId="5" fillId="26" borderId="0" applyNumberFormat="0" applyBorder="0"/>
    <xf numFmtId="0" fontId="5" fillId="28" borderId="0" applyNumberFormat="0" applyBorder="0"/>
    <xf numFmtId="0" fontId="5" fillId="28" borderId="0" applyNumberFormat="0" applyBorder="0"/>
    <xf numFmtId="0" fontId="5" fillId="28" borderId="0" applyNumberFormat="0" applyBorder="0"/>
    <xf numFmtId="0" fontId="5" fillId="28" borderId="0" applyNumberFormat="0" applyBorder="0">
      <alignment horizontal="center"/>
    </xf>
    <xf numFmtId="0" fontId="5" fillId="28" borderId="0" applyNumberFormat="0" applyBorder="0">
      <alignment horizontal="center"/>
    </xf>
    <xf numFmtId="0" fontId="5" fillId="28" borderId="0" applyNumberFormat="0" applyBorder="0">
      <alignment horizontal="center"/>
    </xf>
    <xf numFmtId="0" fontId="5" fillId="23" borderId="0" applyNumberFormat="0" applyBorder="0"/>
    <xf numFmtId="0" fontId="5" fillId="23" borderId="0" applyNumberFormat="0" applyBorder="0"/>
    <xf numFmtId="0" fontId="5" fillId="23" borderId="0" applyNumberFormat="0" applyBorder="0"/>
    <xf numFmtId="0" fontId="5" fillId="26" borderId="0" applyNumberFormat="0" applyBorder="0"/>
    <xf numFmtId="0" fontId="5" fillId="26" borderId="0" applyNumberFormat="0" applyBorder="0"/>
    <xf numFmtId="0" fontId="5" fillId="26" borderId="0" applyNumberFormat="0" applyBorder="0"/>
    <xf numFmtId="0" fontId="5" fillId="28" borderId="0" applyNumberFormat="0" applyBorder="0"/>
    <xf numFmtId="0" fontId="5" fillId="28" borderId="0" applyNumberFormat="0" applyBorder="0"/>
    <xf numFmtId="0" fontId="5" fillId="28" borderId="0" applyNumberFormat="0" applyBorder="0"/>
    <xf numFmtId="0" fontId="5" fillId="28" borderId="0" applyNumberFormat="0" applyBorder="0">
      <alignment horizontal="center"/>
    </xf>
    <xf numFmtId="0" fontId="5" fillId="28" borderId="0" applyNumberFormat="0" applyBorder="0">
      <alignment horizontal="center"/>
    </xf>
    <xf numFmtId="0" fontId="5" fillId="28" borderId="0" applyNumberFormat="0" applyBorder="0">
      <alignment horizontal="center"/>
    </xf>
    <xf numFmtId="0" fontId="5" fillId="23" borderId="0" applyNumberFormat="0" applyBorder="0"/>
    <xf numFmtId="0" fontId="5" fillId="23" borderId="0" applyNumberFormat="0" applyBorder="0"/>
    <xf numFmtId="0" fontId="5" fillId="23" borderId="0" applyNumberFormat="0" applyBorder="0"/>
    <xf numFmtId="0" fontId="5" fillId="26" borderId="0" applyNumberFormat="0" applyBorder="0"/>
    <xf numFmtId="0" fontId="5" fillId="26" borderId="0" applyNumberFormat="0" applyBorder="0"/>
    <xf numFmtId="0" fontId="5" fillId="26" borderId="0" applyNumberFormat="0" applyBorder="0"/>
    <xf numFmtId="0" fontId="11" fillId="23" borderId="0" applyNumberFormat="0"/>
    <xf numFmtId="0" fontId="11" fillId="23" borderId="0" applyNumberFormat="0"/>
    <xf numFmtId="0" fontId="11" fillId="23" borderId="0" applyNumberFormat="0"/>
    <xf numFmtId="0" fontId="5" fillId="23" borderId="24" applyNumberFormat="0">
      <alignment horizontal="left" vertical="center"/>
    </xf>
    <xf numFmtId="0" fontId="5" fillId="23" borderId="24" applyNumberFormat="0">
      <alignment horizontal="left" vertical="center"/>
    </xf>
    <xf numFmtId="0" fontId="5" fillId="23" borderId="24" applyNumberFormat="0">
      <alignment horizontal="left" vertical="center"/>
    </xf>
    <xf numFmtId="0" fontId="5" fillId="23" borderId="25" applyNumberFormat="0">
      <alignment horizontal="center" vertical="center"/>
    </xf>
    <xf numFmtId="0" fontId="5" fillId="23" borderId="25" applyNumberFormat="0">
      <alignment horizontal="center" vertical="center"/>
    </xf>
    <xf numFmtId="0" fontId="5" fillId="23" borderId="25" applyNumberFormat="0">
      <alignment horizontal="center" vertical="center"/>
    </xf>
    <xf numFmtId="0" fontId="5" fillId="23" borderId="27" applyNumberFormat="0">
      <alignment horizontal="center" vertical="center"/>
    </xf>
    <xf numFmtId="0" fontId="5" fillId="23" borderId="27" applyNumberFormat="0">
      <alignment horizontal="center" vertical="center"/>
    </xf>
    <xf numFmtId="0" fontId="5" fillId="23" borderId="27" applyNumberFormat="0">
      <alignment horizontal="center" vertical="center"/>
    </xf>
    <xf numFmtId="0" fontId="5" fillId="23" borderId="26" applyNumberFormat="0">
      <alignment horizontal="center" vertical="center"/>
    </xf>
    <xf numFmtId="0" fontId="5" fillId="23" borderId="26" applyNumberFormat="0">
      <alignment horizontal="center" vertical="center"/>
    </xf>
    <xf numFmtId="0" fontId="5" fillId="23" borderId="26" applyNumberFormat="0">
      <alignment horizontal="center" vertical="center"/>
    </xf>
    <xf numFmtId="0" fontId="5" fillId="27" borderId="24" applyNumberFormat="0">
      <alignment horizontal="left" vertical="center"/>
    </xf>
    <xf numFmtId="0" fontId="5" fillId="27" borderId="24" applyNumberFormat="0">
      <alignment horizontal="left" vertical="center"/>
    </xf>
    <xf numFmtId="0" fontId="5" fillId="27" borderId="24" applyNumberFormat="0">
      <alignment horizontal="left" vertical="center"/>
    </xf>
    <xf numFmtId="0" fontId="5" fillId="27" borderId="25" applyNumberFormat="0">
      <alignment horizontal="center" vertical="center"/>
    </xf>
    <xf numFmtId="0" fontId="5" fillId="27" borderId="25" applyNumberFormat="0">
      <alignment horizontal="center" vertical="center"/>
    </xf>
    <xf numFmtId="0" fontId="5" fillId="27" borderId="25" applyNumberFormat="0">
      <alignment horizontal="center" vertical="center"/>
    </xf>
    <xf numFmtId="0" fontId="5" fillId="27" borderId="27" applyNumberFormat="0">
      <alignment horizontal="center" vertical="center"/>
    </xf>
    <xf numFmtId="0" fontId="5" fillId="27" borderId="27" applyNumberFormat="0">
      <alignment horizontal="center" vertical="center"/>
    </xf>
    <xf numFmtId="0" fontId="5" fillId="27" borderId="27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7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5" fillId="26" borderId="26" applyNumberFormat="0">
      <alignment horizontal="center" vertical="center"/>
    </xf>
    <xf numFmtId="0" fontId="9" fillId="24" borderId="0" applyNumberFormat="0" applyBorder="0">
      <alignment horizontal="center" wrapText="1"/>
    </xf>
    <xf numFmtId="0" fontId="9" fillId="24" borderId="0" applyNumberFormat="0" applyBorder="0">
      <alignment horizontal="center" wrapText="1"/>
    </xf>
    <xf numFmtId="0" fontId="9" fillId="24" borderId="0" applyNumberFormat="0" applyBorder="0">
      <alignment horizontal="center" wrapText="1"/>
    </xf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0" fillId="0" borderId="28" applyNumberFormat="0" applyFill="0" applyAlignment="0" applyProtection="0"/>
    <xf numFmtId="0" fontId="20" fillId="0" borderId="28" applyNumberFormat="0" applyFill="0" applyAlignment="0" applyProtection="0"/>
    <xf numFmtId="0" fontId="20" fillId="0" borderId="28" applyNumberFormat="0" applyFill="0" applyAlignment="0" applyProtection="0"/>
    <xf numFmtId="0" fontId="20" fillId="0" borderId="28" applyNumberFormat="0" applyFill="0" applyAlignment="0" applyProtection="0"/>
    <xf numFmtId="0" fontId="20" fillId="0" borderId="28" applyNumberFormat="0" applyFill="0" applyAlignment="0" applyProtection="0"/>
    <xf numFmtId="0" fontId="20" fillId="0" borderId="28" applyNumberFormat="0" applyFill="0" applyAlignment="0" applyProtection="0"/>
    <xf numFmtId="0" fontId="20" fillId="0" borderId="28" applyNumberFormat="0" applyFill="0" applyAlignment="0" applyProtection="0"/>
    <xf numFmtId="0" fontId="20" fillId="0" borderId="28" applyNumberFormat="0" applyFill="0" applyAlignment="0" applyProtection="0"/>
    <xf numFmtId="0" fontId="20" fillId="0" borderId="28" applyNumberFormat="0" applyFill="0" applyAlignment="0" applyProtection="0"/>
    <xf numFmtId="0" fontId="20" fillId="0" borderId="28" applyNumberFormat="0" applyFill="0" applyAlignment="0" applyProtection="0"/>
    <xf numFmtId="0" fontId="20" fillId="0" borderId="28" applyNumberFormat="0" applyFill="0" applyAlignment="0" applyProtection="0"/>
    <xf numFmtId="0" fontId="20" fillId="0" borderId="28" applyNumberFormat="0" applyFill="0" applyAlignment="0" applyProtection="0"/>
    <xf numFmtId="0" fontId="20" fillId="0" borderId="28" applyNumberFormat="0" applyFill="0" applyAlignment="0" applyProtection="0"/>
    <xf numFmtId="0" fontId="20" fillId="0" borderId="28" applyNumberFormat="0" applyFill="0" applyAlignment="0" applyProtection="0"/>
    <xf numFmtId="0" fontId="20" fillId="0" borderId="28" applyNumberFormat="0" applyFill="0" applyAlignment="0" applyProtection="0"/>
    <xf numFmtId="0" fontId="20" fillId="0" borderId="28" applyNumberFormat="0" applyFill="0" applyAlignment="0" applyProtection="0"/>
    <xf numFmtId="0" fontId="20" fillId="0" borderId="28" applyNumberFormat="0" applyFill="0" applyAlignment="0" applyProtection="0"/>
    <xf numFmtId="0" fontId="20" fillId="0" borderId="28" applyNumberFormat="0" applyFill="0" applyAlignment="0" applyProtection="0"/>
    <xf numFmtId="0" fontId="20" fillId="0" borderId="28" applyNumberFormat="0" applyFill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16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4" borderId="1" xfId="0" applyFill="1" applyBorder="1"/>
    <xf numFmtId="0" fontId="2" fillId="4" borderId="1" xfId="0" applyFont="1" applyFill="1" applyBorder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right"/>
    </xf>
    <xf numFmtId="181" fontId="0" fillId="2" borderId="0" xfId="2" applyNumberFormat="1" applyFont="1" applyFill="1"/>
    <xf numFmtId="9" fontId="0" fillId="6" borderId="1" xfId="1" applyFont="1" applyFill="1" applyBorder="1" applyAlignment="1">
      <alignment horizontal="center"/>
    </xf>
    <xf numFmtId="9" fontId="3" fillId="2" borderId="0" xfId="0" applyNumberFormat="1" applyFont="1" applyFill="1"/>
    <xf numFmtId="0" fontId="2" fillId="3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2" fillId="6" borderId="1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left"/>
    </xf>
    <xf numFmtId="0" fontId="3" fillId="2" borderId="0" xfId="0" applyFont="1" applyFill="1"/>
    <xf numFmtId="9" fontId="3" fillId="8" borderId="1" xfId="0" applyNumberFormat="1" applyFont="1" applyFill="1" applyBorder="1"/>
    <xf numFmtId="0" fontId="0" fillId="4" borderId="3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/>
    </xf>
    <xf numFmtId="182" fontId="2" fillId="5" borderId="1" xfId="0" applyNumberFormat="1" applyFont="1" applyFill="1" applyBorder="1"/>
    <xf numFmtId="0" fontId="0" fillId="3" borderId="0" xfId="0" applyFill="1"/>
    <xf numFmtId="0" fontId="5" fillId="29" borderId="0" xfId="819" applyFill="1" applyAlignment="1">
      <alignment horizontal="left" vertical="top"/>
    </xf>
    <xf numFmtId="0" fontId="0" fillId="30" borderId="0" xfId="0" applyFill="1"/>
    <xf numFmtId="0" fontId="5" fillId="3" borderId="0" xfId="819" applyFill="1"/>
    <xf numFmtId="0" fontId="5" fillId="3" borderId="0" xfId="819" applyFill="1" applyAlignment="1">
      <alignment wrapText="1"/>
    </xf>
    <xf numFmtId="0" fontId="0" fillId="3" borderId="1" xfId="0" applyFill="1" applyBorder="1" applyProtection="1">
      <protection locked="0"/>
    </xf>
    <xf numFmtId="9" fontId="0" fillId="3" borderId="1" xfId="1" applyFont="1" applyFill="1" applyBorder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0" fillId="7" borderId="4" xfId="0" applyFill="1" applyBorder="1" applyAlignment="1">
      <alignment horizontal="center" wrapText="1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left"/>
    </xf>
    <xf numFmtId="0" fontId="34" fillId="2" borderId="0" xfId="0" applyFont="1" applyFill="1"/>
    <xf numFmtId="0" fontId="2" fillId="2" borderId="0" xfId="0" applyFont="1" applyFill="1"/>
    <xf numFmtId="0" fontId="0" fillId="29" borderId="0" xfId="0" applyFill="1"/>
    <xf numFmtId="0" fontId="32" fillId="29" borderId="8" xfId="819" applyFont="1" applyFill="1" applyBorder="1" applyAlignment="1">
      <alignment horizontal="left"/>
    </xf>
    <xf numFmtId="0" fontId="5" fillId="29" borderId="8" xfId="819" applyFill="1" applyBorder="1" applyAlignment="1">
      <alignment horizontal="left" vertical="top" wrapText="1"/>
    </xf>
    <xf numFmtId="0" fontId="5" fillId="29" borderId="12" xfId="819" applyFill="1" applyBorder="1" applyAlignment="1">
      <alignment horizontal="left" vertical="top"/>
    </xf>
    <xf numFmtId="0" fontId="0" fillId="29" borderId="12" xfId="0" applyFill="1" applyBorder="1"/>
    <xf numFmtId="0" fontId="0" fillId="29" borderId="8" xfId="0" applyFill="1" applyBorder="1"/>
    <xf numFmtId="0" fontId="0" fillId="29" borderId="13" xfId="0" applyFill="1" applyBorder="1"/>
    <xf numFmtId="0" fontId="0" fillId="29" borderId="9" xfId="0" applyFill="1" applyBorder="1"/>
    <xf numFmtId="0" fontId="0" fillId="29" borderId="14" xfId="0" applyFill="1" applyBorder="1"/>
    <xf numFmtId="0" fontId="31" fillId="31" borderId="10" xfId="819" applyFont="1" applyFill="1" applyBorder="1" applyAlignment="1">
      <alignment horizontal="center" vertical="center"/>
    </xf>
    <xf numFmtId="0" fontId="31" fillId="31" borderId="11" xfId="819" applyFont="1" applyFill="1" applyBorder="1" applyAlignment="1">
      <alignment horizontal="center" vertical="center"/>
    </xf>
    <xf numFmtId="0" fontId="31" fillId="31" borderId="13" xfId="819" applyFont="1" applyFill="1" applyBorder="1" applyAlignment="1">
      <alignment horizontal="center" vertical="center"/>
    </xf>
    <xf numFmtId="0" fontId="31" fillId="31" borderId="9" xfId="819" applyFont="1" applyFill="1" applyBorder="1" applyAlignment="1">
      <alignment horizontal="center" vertical="center"/>
    </xf>
    <xf numFmtId="0" fontId="31" fillId="31" borderId="14" xfId="819" applyFont="1" applyFill="1" applyBorder="1" applyAlignment="1">
      <alignment horizontal="center" vertical="center"/>
    </xf>
    <xf numFmtId="0" fontId="36" fillId="29" borderId="0" xfId="819" applyFont="1" applyFill="1"/>
    <xf numFmtId="0" fontId="36" fillId="29" borderId="12" xfId="819" applyFont="1" applyFill="1" applyBorder="1"/>
    <xf numFmtId="0" fontId="37" fillId="29" borderId="0" xfId="819" applyFont="1" applyFill="1"/>
    <xf numFmtId="0" fontId="37" fillId="29" borderId="12" xfId="819" applyFont="1" applyFill="1" applyBorder="1"/>
    <xf numFmtId="0" fontId="36" fillId="29" borderId="0" xfId="819" applyFont="1" applyFill="1" applyAlignment="1">
      <alignment horizontal="left" vertical="top"/>
    </xf>
    <xf numFmtId="0" fontId="36" fillId="29" borderId="12" xfId="819" applyFont="1" applyFill="1" applyBorder="1" applyAlignment="1">
      <alignment horizontal="left" vertical="top"/>
    </xf>
    <xf numFmtId="0" fontId="38" fillId="29" borderId="0" xfId="0" applyFont="1" applyFill="1"/>
    <xf numFmtId="0" fontId="38" fillId="29" borderId="12" xfId="0" applyFont="1" applyFill="1" applyBorder="1"/>
    <xf numFmtId="0" fontId="0" fillId="32" borderId="1" xfId="0" applyFill="1" applyBorder="1" applyAlignment="1">
      <alignment horizontal="right"/>
    </xf>
    <xf numFmtId="0" fontId="31" fillId="31" borderId="8" xfId="819" applyFont="1" applyFill="1" applyBorder="1" applyAlignment="1">
      <alignment vertical="center"/>
    </xf>
    <xf numFmtId="0" fontId="31" fillId="31" borderId="0" xfId="819" applyFont="1" applyFill="1" applyAlignment="1">
      <alignment vertical="center"/>
    </xf>
    <xf numFmtId="0" fontId="31" fillId="31" borderId="12" xfId="819" applyFont="1" applyFill="1" applyBorder="1" applyAlignment="1">
      <alignment vertical="center"/>
    </xf>
    <xf numFmtId="0" fontId="35" fillId="31" borderId="8" xfId="819" applyFont="1" applyFill="1" applyBorder="1" applyAlignment="1">
      <alignment vertical="center"/>
    </xf>
    <xf numFmtId="0" fontId="35" fillId="31" borderId="0" xfId="819" applyFont="1" applyFill="1" applyAlignment="1">
      <alignment vertical="center"/>
    </xf>
    <xf numFmtId="0" fontId="35" fillId="31" borderId="12" xfId="819" applyFont="1" applyFill="1" applyBorder="1" applyAlignment="1">
      <alignment vertical="center"/>
    </xf>
    <xf numFmtId="0" fontId="31" fillId="31" borderId="6" xfId="819" applyFont="1" applyFill="1" applyBorder="1" applyAlignment="1" applyProtection="1">
      <alignment vertical="center"/>
      <protection locked="0"/>
    </xf>
    <xf numFmtId="0" fontId="40" fillId="29" borderId="8" xfId="819" applyFont="1" applyFill="1" applyBorder="1" applyAlignment="1">
      <alignment horizontal="left"/>
    </xf>
    <xf numFmtId="0" fontId="40" fillId="29" borderId="0" xfId="819" applyFont="1" applyFill="1"/>
    <xf numFmtId="176" fontId="0" fillId="3" borderId="4" xfId="0" applyNumberFormat="1" applyFill="1" applyBorder="1" applyAlignment="1" applyProtection="1">
      <alignment horizontal="left"/>
      <protection locked="0"/>
    </xf>
    <xf numFmtId="176" fontId="0" fillId="3" borderId="1" xfId="0" applyNumberFormat="1" applyFill="1" applyBorder="1" applyProtection="1">
      <protection locked="0"/>
    </xf>
    <xf numFmtId="0" fontId="36" fillId="29" borderId="29" xfId="819" applyFont="1" applyFill="1" applyBorder="1" applyAlignment="1">
      <alignment horizontal="left" vertical="top" wrapText="1"/>
    </xf>
    <xf numFmtId="0" fontId="36" fillId="29" borderId="32" xfId="819" applyFont="1" applyFill="1" applyBorder="1" applyAlignment="1">
      <alignment horizontal="left" vertical="top" wrapText="1"/>
    </xf>
    <xf numFmtId="0" fontId="36" fillId="29" borderId="31" xfId="819" applyFont="1" applyFill="1" applyBorder="1" applyAlignment="1">
      <alignment horizontal="left" vertical="top" wrapText="1"/>
    </xf>
    <xf numFmtId="0" fontId="0" fillId="3" borderId="4" xfId="0" applyFill="1" applyBorder="1" applyAlignment="1" applyProtection="1">
      <alignment horizontal="left"/>
      <protection locked="0"/>
    </xf>
    <xf numFmtId="0" fontId="0" fillId="3" borderId="5" xfId="0" applyFill="1" applyBorder="1" applyAlignment="1" applyProtection="1">
      <alignment horizontal="left"/>
      <protection locked="0"/>
    </xf>
    <xf numFmtId="0" fontId="0" fillId="3" borderId="7" xfId="0" applyFill="1" applyBorder="1" applyAlignment="1" applyProtection="1">
      <alignment horizontal="left"/>
      <protection locked="0"/>
    </xf>
    <xf numFmtId="0" fontId="0" fillId="4" borderId="1" xfId="0" applyFill="1" applyBorder="1" applyAlignment="1">
      <alignment horizontal="right"/>
    </xf>
    <xf numFmtId="0" fontId="0" fillId="6" borderId="1" xfId="0" applyFill="1" applyBorder="1" applyAlignment="1">
      <alignment horizontal="center" vertical="center" wrapText="1"/>
    </xf>
    <xf numFmtId="0" fontId="31" fillId="31" borderId="0" xfId="819" applyFont="1" applyFill="1" applyAlignment="1">
      <alignment horizontal="center" vertical="center"/>
    </xf>
    <xf numFmtId="0" fontId="35" fillId="31" borderId="0" xfId="819" applyFont="1" applyFill="1" applyAlignment="1">
      <alignment horizontal="center" vertical="center"/>
    </xf>
    <xf numFmtId="0" fontId="39" fillId="29" borderId="33" xfId="706" applyFont="1" applyFill="1" applyBorder="1" applyAlignment="1" applyProtection="1">
      <alignment horizontal="left" vertical="top" wrapText="1"/>
      <protection locked="0"/>
    </xf>
    <xf numFmtId="0" fontId="39" fillId="29" borderId="30" xfId="706" applyFont="1" applyFill="1" applyBorder="1" applyAlignment="1" applyProtection="1">
      <alignment horizontal="left" vertical="top" wrapText="1"/>
      <protection locked="0"/>
    </xf>
    <xf numFmtId="0" fontId="36" fillId="29" borderId="29" xfId="819" applyFont="1" applyFill="1" applyBorder="1" applyAlignment="1">
      <alignment horizontal="left" vertical="top"/>
    </xf>
    <xf numFmtId="0" fontId="36" fillId="29" borderId="32" xfId="819" applyFont="1" applyFill="1" applyBorder="1" applyAlignment="1">
      <alignment horizontal="left" vertical="top"/>
    </xf>
    <xf numFmtId="0" fontId="36" fillId="29" borderId="29" xfId="819" applyFont="1" applyFill="1" applyBorder="1" applyAlignment="1">
      <alignment horizontal="left" vertical="top" wrapText="1"/>
    </xf>
    <xf numFmtId="0" fontId="36" fillId="29" borderId="32" xfId="819" applyFont="1" applyFill="1" applyBorder="1" applyAlignment="1">
      <alignment horizontal="left" vertical="top" wrapText="1"/>
    </xf>
    <xf numFmtId="0" fontId="36" fillId="29" borderId="31" xfId="819" applyFont="1" applyFill="1" applyBorder="1" applyAlignment="1">
      <alignment horizontal="left" vertical="top" wrapText="1"/>
    </xf>
    <xf numFmtId="0" fontId="6" fillId="29" borderId="33" xfId="706" applyFill="1" applyBorder="1" applyAlignment="1" applyProtection="1">
      <alignment horizontal="left" vertical="top" wrapText="1"/>
      <protection locked="0"/>
    </xf>
    <xf numFmtId="0" fontId="6" fillId="29" borderId="30" xfId="706" applyFill="1" applyBorder="1" applyAlignment="1" applyProtection="1">
      <alignment horizontal="left" vertical="top" wrapText="1"/>
      <protection locked="0"/>
    </xf>
    <xf numFmtId="0" fontId="2" fillId="6" borderId="1" xfId="0" applyFont="1" applyFill="1" applyBorder="1" applyAlignment="1">
      <alignment horizontal="left"/>
    </xf>
    <xf numFmtId="0" fontId="6" fillId="2" borderId="0" xfId="706" applyFill="1" applyAlignment="1" applyProtection="1">
      <alignment horizontal="right"/>
    </xf>
    <xf numFmtId="0" fontId="33" fillId="31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wrapText="1"/>
    </xf>
    <xf numFmtId="0" fontId="0" fillId="32" borderId="4" xfId="0" applyFill="1" applyBorder="1" applyAlignment="1">
      <alignment horizontal="center"/>
    </xf>
    <xf numFmtId="0" fontId="0" fillId="32" borderId="5" xfId="0" applyFill="1" applyBorder="1" applyAlignment="1">
      <alignment horizontal="center"/>
    </xf>
    <xf numFmtId="0" fontId="0" fillId="32" borderId="7" xfId="0" applyFill="1" applyBorder="1" applyAlignment="1">
      <alignment horizontal="center"/>
    </xf>
    <xf numFmtId="9" fontId="0" fillId="3" borderId="4" xfId="1" applyFont="1" applyFill="1" applyBorder="1" applyAlignment="1" applyProtection="1">
      <alignment horizontal="left"/>
      <protection locked="0"/>
    </xf>
    <xf numFmtId="9" fontId="0" fillId="3" borderId="5" xfId="1" applyFont="1" applyFill="1" applyBorder="1" applyAlignment="1" applyProtection="1">
      <alignment horizontal="left"/>
      <protection locked="0"/>
    </xf>
    <xf numFmtId="9" fontId="0" fillId="3" borderId="7" xfId="1" applyFont="1" applyFill="1" applyBorder="1" applyAlignment="1" applyProtection="1">
      <alignment horizontal="left"/>
      <protection locked="0"/>
    </xf>
    <xf numFmtId="0" fontId="0" fillId="4" borderId="1" xfId="0" applyFill="1" applyBorder="1" applyAlignment="1">
      <alignment horizontal="right"/>
    </xf>
    <xf numFmtId="0" fontId="0" fillId="6" borderId="4" xfId="0" applyFill="1" applyBorder="1" applyAlignment="1">
      <alignment horizontal="left"/>
    </xf>
    <xf numFmtId="0" fontId="0" fillId="6" borderId="5" xfId="0" applyFill="1" applyBorder="1" applyAlignment="1">
      <alignment horizontal="left"/>
    </xf>
    <xf numFmtId="0" fontId="0" fillId="6" borderId="7" xfId="0" applyFill="1" applyBorder="1" applyAlignment="1">
      <alignment horizontal="left"/>
    </xf>
    <xf numFmtId="0" fontId="0" fillId="4" borderId="4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left" vertical="center" wrapText="1"/>
    </xf>
    <xf numFmtId="0" fontId="0" fillId="4" borderId="7" xfId="0" applyFill="1" applyBorder="1" applyAlignment="1">
      <alignment horizontal="left" vertical="center" wrapText="1"/>
    </xf>
    <xf numFmtId="0" fontId="0" fillId="4" borderId="4" xfId="0" applyFill="1" applyBorder="1" applyAlignment="1">
      <alignment horizontal="left" vertical="center"/>
    </xf>
    <xf numFmtId="0" fontId="0" fillId="4" borderId="5" xfId="0" applyFill="1" applyBorder="1" applyAlignment="1">
      <alignment horizontal="left" vertical="center"/>
    </xf>
    <xf numFmtId="0" fontId="0" fillId="4" borderId="7" xfId="0" applyFill="1" applyBorder="1" applyAlignment="1">
      <alignment horizontal="left" vertical="center"/>
    </xf>
    <xf numFmtId="0" fontId="0" fillId="32" borderId="1" xfId="0" applyFill="1" applyBorder="1" applyAlignment="1">
      <alignment horizontal="center"/>
    </xf>
    <xf numFmtId="0" fontId="0" fillId="3" borderId="4" xfId="0" applyFill="1" applyBorder="1" applyAlignment="1" applyProtection="1">
      <alignment horizontal="left"/>
      <protection locked="0"/>
    </xf>
    <xf numFmtId="0" fontId="0" fillId="3" borderId="5" xfId="0" applyFill="1" applyBorder="1" applyAlignment="1" applyProtection="1">
      <alignment horizontal="left"/>
      <protection locked="0"/>
    </xf>
    <xf numFmtId="0" fontId="0" fillId="3" borderId="7" xfId="0" applyFill="1" applyBorder="1" applyAlignment="1" applyProtection="1">
      <alignment horizontal="left"/>
      <protection locked="0"/>
    </xf>
  </cellXfs>
  <cellStyles count="1396">
    <cellStyle name="20% - Accent1 10" xfId="4" xr:uid="{75AEEBDD-6380-4336-9DE5-59C3E57CAEE7}"/>
    <cellStyle name="20% - Accent1 11" xfId="5" xr:uid="{363F876E-4EEB-4F83-A596-942CB8CC63C9}"/>
    <cellStyle name="20% - Accent1 12" xfId="6" xr:uid="{51EEB00E-54B9-4365-B47D-B93F3F78774C}"/>
    <cellStyle name="20% - Accent1 13" xfId="7" xr:uid="{8AE106E0-9684-4AAD-9E92-39EFFED01644}"/>
    <cellStyle name="20% - Accent1 14" xfId="8" xr:uid="{D29F218B-C248-467F-9760-A7474A329970}"/>
    <cellStyle name="20% - Accent1 15" xfId="9" xr:uid="{F983A478-3012-42EC-B6D3-EF47F9AA5329}"/>
    <cellStyle name="20% - Accent1 16" xfId="10" xr:uid="{79097AA0-2036-4B42-B111-F10CA02814FE}"/>
    <cellStyle name="20% - Accent1 17" xfId="11" xr:uid="{0DB4B05D-79C0-40A1-A5DF-696BFC01D5EE}"/>
    <cellStyle name="20% - Accent1 18" xfId="12" xr:uid="{FC527982-C7CC-41B9-8774-8C10093C75F1}"/>
    <cellStyle name="20% - Accent1 19" xfId="13" xr:uid="{461E1D28-8448-4E05-8F35-9573847F777A}"/>
    <cellStyle name="20% - Accent1 2" xfId="14" xr:uid="{C1B7D912-CD04-4C9E-A737-E20BB3B8C359}"/>
    <cellStyle name="20% - Accent1 20" xfId="15" xr:uid="{A2B132B3-4D1B-458D-8194-94382AC37D97}"/>
    <cellStyle name="20% - Accent1 3" xfId="16" xr:uid="{B9CD48BB-3724-4BF9-B4F6-011F57C9AF0C}"/>
    <cellStyle name="20% - Accent1 4" xfId="17" xr:uid="{F32DCD1C-BD61-494A-8575-5E8D5532B945}"/>
    <cellStyle name="20% - Accent1 5" xfId="18" xr:uid="{8C178B28-078F-4844-B03C-BFB3F60075F6}"/>
    <cellStyle name="20% - Accent1 6" xfId="19" xr:uid="{6B953A2A-1950-4685-84DA-098AF2079721}"/>
    <cellStyle name="20% - Accent1 7" xfId="20" xr:uid="{A0CB69D8-26A7-4E78-AC17-648A6A291FF6}"/>
    <cellStyle name="20% - Accent1 8" xfId="21" xr:uid="{C24DC8BC-B18E-4322-9919-922FB5361027}"/>
    <cellStyle name="20% - Accent1 9" xfId="22" xr:uid="{13830414-10ED-4FE3-95BB-A5A26C9E60F9}"/>
    <cellStyle name="20% - Accent2 10" xfId="23" xr:uid="{7453FD5B-429E-4AF4-A62D-DF7B791ACD52}"/>
    <cellStyle name="20% - Accent2 11" xfId="24" xr:uid="{5F749458-8E4B-4D7B-ACF2-EE84F64F6A26}"/>
    <cellStyle name="20% - Accent2 12" xfId="25" xr:uid="{4CBCF06E-3813-4560-A60C-267912C26D1F}"/>
    <cellStyle name="20% - Accent2 13" xfId="26" xr:uid="{197F5093-CDEB-4F0F-8F32-2C15107796A3}"/>
    <cellStyle name="20% - Accent2 14" xfId="27" xr:uid="{21C0447B-00F3-41C4-8E35-CEF104EAD319}"/>
    <cellStyle name="20% - Accent2 15" xfId="28" xr:uid="{EFE31FC3-78DA-4844-A7E8-571DCBA160BD}"/>
    <cellStyle name="20% - Accent2 16" xfId="29" xr:uid="{87549A6E-A126-4D53-A61A-43A42262154F}"/>
    <cellStyle name="20% - Accent2 17" xfId="30" xr:uid="{FBCB9B44-FD94-46E0-9857-53085A149AAB}"/>
    <cellStyle name="20% - Accent2 18" xfId="31" xr:uid="{7DD6082A-76DE-4601-9522-0734C4919D2B}"/>
    <cellStyle name="20% - Accent2 19" xfId="32" xr:uid="{F6A663A0-3EFF-41C5-8160-DB062F479BD3}"/>
    <cellStyle name="20% - Accent2 2" xfId="33" xr:uid="{4AEFFC65-69B0-400A-9E8C-63AC237A71BB}"/>
    <cellStyle name="20% - Accent2 20" xfId="34" xr:uid="{94FF3F3C-1322-4A60-8FBF-57ABF6C93366}"/>
    <cellStyle name="20% - Accent2 3" xfId="35" xr:uid="{689E2115-D2FA-4328-855A-BE824821DFEB}"/>
    <cellStyle name="20% - Accent2 4" xfId="36" xr:uid="{7AE4A0F7-E036-4326-AA1E-346792F0F692}"/>
    <cellStyle name="20% - Accent2 5" xfId="37" xr:uid="{720F82C2-AD04-4557-A858-AB190ECC111B}"/>
    <cellStyle name="20% - Accent2 6" xfId="38" xr:uid="{B55B8B2A-9A17-4F30-802E-A2AE11F758E4}"/>
    <cellStyle name="20% - Accent2 7" xfId="39" xr:uid="{D19AD600-D1D6-4B3E-ADDC-4B0CFFFE8C94}"/>
    <cellStyle name="20% - Accent2 8" xfId="40" xr:uid="{35DD9BB5-5E2F-4A06-81B7-1891380C1E02}"/>
    <cellStyle name="20% - Accent2 9" xfId="41" xr:uid="{8A6D680A-A467-4BA5-AACA-745D0860717A}"/>
    <cellStyle name="20% - Accent3 10" xfId="42" xr:uid="{ED1AB26E-15EF-412E-8DF2-2651E253AB53}"/>
    <cellStyle name="20% - Accent3 11" xfId="43" xr:uid="{FC7AB04D-0F00-4D15-AE08-0F922D856C95}"/>
    <cellStyle name="20% - Accent3 12" xfId="44" xr:uid="{06400B44-CBF0-406F-AC08-267E97FCE52F}"/>
    <cellStyle name="20% - Accent3 13" xfId="45" xr:uid="{51C489DA-8384-49E6-A51F-F6E93B72EB6A}"/>
    <cellStyle name="20% - Accent3 14" xfId="46" xr:uid="{5675DED2-3C40-4546-B60F-27523D69AFA3}"/>
    <cellStyle name="20% - Accent3 15" xfId="47" xr:uid="{DEE86D58-D4C5-4191-A5E5-D5F4F65BB1AF}"/>
    <cellStyle name="20% - Accent3 16" xfId="48" xr:uid="{F15A71AC-0E10-4F79-96CF-05300D732252}"/>
    <cellStyle name="20% - Accent3 17" xfId="49" xr:uid="{1835A1DA-6E7B-4AFF-B0ED-8D992FD377C0}"/>
    <cellStyle name="20% - Accent3 18" xfId="50" xr:uid="{61C1C881-EF91-4EC7-9F17-7ABB9BD1BF20}"/>
    <cellStyle name="20% - Accent3 19" xfId="51" xr:uid="{B3363999-9DB6-4E45-8C42-83A5351CC8B3}"/>
    <cellStyle name="20% - Accent3 2" xfId="52" xr:uid="{5788D4C6-9000-4BCE-9E25-4621277E925E}"/>
    <cellStyle name="20% - Accent3 20" xfId="53" xr:uid="{7DF305ED-66E0-415B-A256-D249F1812997}"/>
    <cellStyle name="20% - Accent3 3" xfId="54" xr:uid="{DD53A044-A4B9-4044-A6F2-C63C6DF5B813}"/>
    <cellStyle name="20% - Accent3 4" xfId="55" xr:uid="{16D38E6D-8274-48E3-9257-73FE5EAB2B2B}"/>
    <cellStyle name="20% - Accent3 5" xfId="56" xr:uid="{A7AF9E58-1033-460A-ABC5-5B1365FD3665}"/>
    <cellStyle name="20% - Accent3 6" xfId="57" xr:uid="{DC1DCA3E-04E6-422B-A032-CA2840E4373D}"/>
    <cellStyle name="20% - Accent3 7" xfId="58" xr:uid="{AA2DFD37-5B3B-489B-B4A0-978ABC3F9916}"/>
    <cellStyle name="20% - Accent3 8" xfId="59" xr:uid="{7692E8F1-57EF-4166-8831-3A1A7484460A}"/>
    <cellStyle name="20% - Accent3 9" xfId="60" xr:uid="{3F7C4A6B-9BEE-445B-B0B4-EF898FF08E01}"/>
    <cellStyle name="20% - Accent4 10" xfId="61" xr:uid="{DD359B88-A76D-4E26-8DD1-C5911BEAF802}"/>
    <cellStyle name="20% - Accent4 11" xfId="62" xr:uid="{09E3D12A-D283-4CF5-8813-99C8A17AA451}"/>
    <cellStyle name="20% - Accent4 12" xfId="63" xr:uid="{B6E3910F-5FEB-4D5A-9282-B3D51F9FF008}"/>
    <cellStyle name="20% - Accent4 13" xfId="64" xr:uid="{A223562F-31C2-4862-8893-808ADE52846E}"/>
    <cellStyle name="20% - Accent4 14" xfId="65" xr:uid="{01FA0DAB-084A-45E3-A4D4-E97346B246F0}"/>
    <cellStyle name="20% - Accent4 15" xfId="66" xr:uid="{972A2A9E-3609-4E9A-9BA0-00CFA3823331}"/>
    <cellStyle name="20% - Accent4 16" xfId="67" xr:uid="{BCB2541C-E0A7-4B6A-834B-140C42171A4A}"/>
    <cellStyle name="20% - Accent4 17" xfId="68" xr:uid="{9B3AE2C2-5E3F-40A8-82D2-DE10F35D9CF2}"/>
    <cellStyle name="20% - Accent4 18" xfId="69" xr:uid="{63BB0BC1-D333-46BD-9C6B-AC0378D5134D}"/>
    <cellStyle name="20% - Accent4 19" xfId="70" xr:uid="{70A552A4-99BC-4EC1-863C-DF167794D527}"/>
    <cellStyle name="20% - Accent4 2" xfId="71" xr:uid="{A2E85219-C58D-492F-A7F7-AEABF9501AB0}"/>
    <cellStyle name="20% - Accent4 20" xfId="72" xr:uid="{D97B8110-E621-4539-B2A1-92FA700A7CA0}"/>
    <cellStyle name="20% - Accent4 3" xfId="73" xr:uid="{C59B17B0-6447-458B-A46F-A6D3D74B1884}"/>
    <cellStyle name="20% - Accent4 4" xfId="74" xr:uid="{7B5B02D5-0530-4A56-8F16-DC88F0A7528E}"/>
    <cellStyle name="20% - Accent4 5" xfId="75" xr:uid="{9EC146C8-D0DA-4A83-A056-4765709FC059}"/>
    <cellStyle name="20% - Accent4 6" xfId="76" xr:uid="{92133049-5CF4-419A-9308-E8ACA22DFC23}"/>
    <cellStyle name="20% - Accent4 7" xfId="77" xr:uid="{6E3051E0-04D9-4FF3-9E65-9EB47595A5F1}"/>
    <cellStyle name="20% - Accent4 8" xfId="78" xr:uid="{659EC3CC-7F24-4345-BCE6-02BA3869B257}"/>
    <cellStyle name="20% - Accent4 9" xfId="79" xr:uid="{F3AF5637-5493-4896-A5BA-C339BB55B390}"/>
    <cellStyle name="20% - Accent5 10" xfId="80" xr:uid="{BA8F1DF9-1995-49E8-BE72-6424BDEB7927}"/>
    <cellStyle name="20% - Accent5 11" xfId="81" xr:uid="{5F98728F-5F85-4414-BC83-E4ADC6C47E11}"/>
    <cellStyle name="20% - Accent5 12" xfId="82" xr:uid="{3FF790D9-005A-4C9B-A4EA-2574D58D0513}"/>
    <cellStyle name="20% - Accent5 13" xfId="83" xr:uid="{2FC1B657-9543-49DA-9CE6-F91C1B0CCD59}"/>
    <cellStyle name="20% - Accent5 14" xfId="84" xr:uid="{02191EEB-31A8-4B43-8F15-2D6378A560BA}"/>
    <cellStyle name="20% - Accent5 15" xfId="85" xr:uid="{1171AB42-DB5E-4074-BED0-54D9169388AD}"/>
    <cellStyle name="20% - Accent5 16" xfId="86" xr:uid="{75D08045-7810-4CD0-98EB-15C99A961C63}"/>
    <cellStyle name="20% - Accent5 17" xfId="87" xr:uid="{56FD774D-5BC5-4C23-8FC0-4B244D5FDFC9}"/>
    <cellStyle name="20% - Accent5 18" xfId="88" xr:uid="{EEAAA180-9EA9-4CA3-8728-DF275B8836CD}"/>
    <cellStyle name="20% - Accent5 19" xfId="89" xr:uid="{78E5D46A-64CA-4452-AAB3-AE85581017D7}"/>
    <cellStyle name="20% - Accent5 2" xfId="90" xr:uid="{EE7F9F62-5E5D-4286-9B86-6B41224B072F}"/>
    <cellStyle name="20% - Accent5 20" xfId="91" xr:uid="{DE1A75C1-A3F1-4D59-A0E3-73A4DFFCC81E}"/>
    <cellStyle name="20% - Accent5 3" xfId="92" xr:uid="{98DEF041-E3AD-4DA2-979B-E0F1EE588287}"/>
    <cellStyle name="20% - Accent5 4" xfId="93" xr:uid="{EF8ECCF4-84E8-4CDD-BB12-D049E4CBAC4B}"/>
    <cellStyle name="20% - Accent5 5" xfId="94" xr:uid="{91ED4F91-D3CC-4E9B-9405-0B7B5555E749}"/>
    <cellStyle name="20% - Accent5 6" xfId="95" xr:uid="{1E24F737-7483-442D-936D-7D2CEB8E3197}"/>
    <cellStyle name="20% - Accent5 7" xfId="96" xr:uid="{6512FCCC-D47F-4398-A6E2-924252DC67D0}"/>
    <cellStyle name="20% - Accent5 8" xfId="97" xr:uid="{F5C018F2-E166-4FF5-B980-EF5F93F22377}"/>
    <cellStyle name="20% - Accent5 9" xfId="98" xr:uid="{8B85E1BB-96A4-445C-B59D-B3D7A7624670}"/>
    <cellStyle name="20% - Accent6 10" xfId="99" xr:uid="{180E610C-262A-45A9-AAE8-79DAA5C9CEEF}"/>
    <cellStyle name="20% - Accent6 11" xfId="100" xr:uid="{81A14792-7690-464E-9CB6-3F1094C6EE88}"/>
    <cellStyle name="20% - Accent6 12" xfId="101" xr:uid="{1361593F-DB1E-436C-9E0F-C88222FF5D96}"/>
    <cellStyle name="20% - Accent6 13" xfId="102" xr:uid="{7C3D2155-D3C0-4CDC-B175-6FA0F056C30F}"/>
    <cellStyle name="20% - Accent6 14" xfId="103" xr:uid="{13BD4F70-8A5A-4069-A414-62EBFB4F1948}"/>
    <cellStyle name="20% - Accent6 15" xfId="104" xr:uid="{FF104AA0-1F49-494D-8F4F-FAA798767E74}"/>
    <cellStyle name="20% - Accent6 16" xfId="105" xr:uid="{7A256FD9-A8B7-4D0F-9053-039FC2E585BA}"/>
    <cellStyle name="20% - Accent6 17" xfId="106" xr:uid="{EBE1E2D2-A62B-4A56-9A82-78CA0A2F995F}"/>
    <cellStyle name="20% - Accent6 18" xfId="107" xr:uid="{4CB70DF1-DDE8-4ECF-9F98-22C6D5D8A109}"/>
    <cellStyle name="20% - Accent6 19" xfId="108" xr:uid="{FB1094E5-BEC6-407D-915A-F3575EEFEC7A}"/>
    <cellStyle name="20% - Accent6 2" xfId="109" xr:uid="{ECFD0CD5-8DDD-4EF4-A27E-60541659C201}"/>
    <cellStyle name="20% - Accent6 20" xfId="110" xr:uid="{B16FA42A-7A3D-436B-AF8A-071A349E2812}"/>
    <cellStyle name="20% - Accent6 3" xfId="111" xr:uid="{4AB271BB-42B1-4DBC-8C38-18A2987C8129}"/>
    <cellStyle name="20% - Accent6 4" xfId="112" xr:uid="{9E4240B1-35A0-4C3C-8D63-4CE4E4AC5AA2}"/>
    <cellStyle name="20% - Accent6 5" xfId="113" xr:uid="{2FA6A1E0-DD5B-4E6E-B449-1DCB8A115327}"/>
    <cellStyle name="20% - Accent6 6" xfId="114" xr:uid="{51C2AC0B-1AD6-43DE-9D74-ABD3A3797279}"/>
    <cellStyle name="20% - Accent6 7" xfId="115" xr:uid="{11183A56-D591-41B5-8782-C8693B67C508}"/>
    <cellStyle name="20% - Accent6 8" xfId="116" xr:uid="{3EE271DD-097E-42E6-BAF1-F58934CEFB57}"/>
    <cellStyle name="20% - Accent6 9" xfId="117" xr:uid="{F1431274-D568-40D7-908E-6837CE85F261}"/>
    <cellStyle name="40% - Accent1 10" xfId="118" xr:uid="{F65EA846-5FF5-4A84-8802-B3681A979437}"/>
    <cellStyle name="40% - Accent1 11" xfId="119" xr:uid="{31ECC0B1-A392-428E-87AB-AD52107A6400}"/>
    <cellStyle name="40% - Accent1 12" xfId="120" xr:uid="{AD658D6B-62E7-4499-811F-2ABAC6E227F6}"/>
    <cellStyle name="40% - Accent1 13" xfId="121" xr:uid="{1EC3660D-73C8-413B-A22A-84EC5F6A05CC}"/>
    <cellStyle name="40% - Accent1 14" xfId="122" xr:uid="{D7A1DDE4-E15B-4D37-98D4-22A10057C9F1}"/>
    <cellStyle name="40% - Accent1 15" xfId="123" xr:uid="{478C7B03-EAD9-4E24-824E-5830831F05AE}"/>
    <cellStyle name="40% - Accent1 16" xfId="124" xr:uid="{DA3206E3-8195-4061-9B1C-488B0F77E474}"/>
    <cellStyle name="40% - Accent1 17" xfId="125" xr:uid="{AFDB796F-5205-45ED-927E-26301CDDC8B9}"/>
    <cellStyle name="40% - Accent1 18" xfId="126" xr:uid="{25B0F6DE-7EEB-4B56-8D33-009CADDE7B5B}"/>
    <cellStyle name="40% - Accent1 19" xfId="127" xr:uid="{C551EAF9-80A9-488D-9733-0B60202B9C3C}"/>
    <cellStyle name="40% - Accent1 2" xfId="128" xr:uid="{07B32205-6CE7-4BBB-96E3-E733D3557C7F}"/>
    <cellStyle name="40% - Accent1 20" xfId="129" xr:uid="{36F1E2C9-7DDE-47E5-BB50-023515EF5B97}"/>
    <cellStyle name="40% - Accent1 3" xfId="130" xr:uid="{C8893185-A1B4-4263-87A8-329FBDFE9464}"/>
    <cellStyle name="40% - Accent1 4" xfId="131" xr:uid="{A2EB31ED-AAE0-4233-B048-DAF5B94C8FBC}"/>
    <cellStyle name="40% - Accent1 5" xfId="132" xr:uid="{28CA690C-634F-4CB6-9F05-B77441488C47}"/>
    <cellStyle name="40% - Accent1 6" xfId="133" xr:uid="{4BDA2B43-676A-44B5-84AB-E6FEB7338921}"/>
    <cellStyle name="40% - Accent1 7" xfId="134" xr:uid="{B6F19804-FCFA-413D-A784-ABE4AF725697}"/>
    <cellStyle name="40% - Accent1 8" xfId="135" xr:uid="{FBA56675-23A2-46C0-AB01-FE03ECD8AFED}"/>
    <cellStyle name="40% - Accent1 9" xfId="136" xr:uid="{259E9326-60C4-42ED-8F2D-E4EAC8E73BFC}"/>
    <cellStyle name="40% - Accent2 10" xfId="137" xr:uid="{BE246243-38E8-4C95-B422-C8A114858E2C}"/>
    <cellStyle name="40% - Accent2 11" xfId="138" xr:uid="{EE26D39C-A244-4643-B39F-F5F81BED578D}"/>
    <cellStyle name="40% - Accent2 12" xfId="139" xr:uid="{7C25E527-2DF1-42EA-BF87-5AAC16F18983}"/>
    <cellStyle name="40% - Accent2 13" xfId="140" xr:uid="{6D445C02-DA9A-479B-A9C8-03BFB7FE48A9}"/>
    <cellStyle name="40% - Accent2 14" xfId="141" xr:uid="{4C33898D-633D-438C-B5F4-F012B715745C}"/>
    <cellStyle name="40% - Accent2 15" xfId="142" xr:uid="{00C4D8EE-64D3-4B6E-BD3C-D32BE225D379}"/>
    <cellStyle name="40% - Accent2 16" xfId="143" xr:uid="{31902E6E-2D39-409F-9796-7CD921500180}"/>
    <cellStyle name="40% - Accent2 17" xfId="144" xr:uid="{C4B15772-56FB-46BE-BE7A-216BA546F7E5}"/>
    <cellStyle name="40% - Accent2 18" xfId="145" xr:uid="{86276D20-576F-4738-9483-56BEBFF7567C}"/>
    <cellStyle name="40% - Accent2 19" xfId="146" xr:uid="{09C75436-BEDB-4962-A428-B07826B52330}"/>
    <cellStyle name="40% - Accent2 2" xfId="147" xr:uid="{75158821-0BBF-4F08-BC29-2B4E5F0E543F}"/>
    <cellStyle name="40% - Accent2 20" xfId="148" xr:uid="{6050A956-CC6D-4688-97D4-E3F74EE75851}"/>
    <cellStyle name="40% - Accent2 3" xfId="149" xr:uid="{4687AD0D-A0DB-4C40-8706-D0D471536F54}"/>
    <cellStyle name="40% - Accent2 4" xfId="150" xr:uid="{FE31AFCA-B79E-4274-AAD6-CECE411B99A6}"/>
    <cellStyle name="40% - Accent2 5" xfId="151" xr:uid="{B4597D06-C8FF-4557-8CD8-CC6673A0DCF5}"/>
    <cellStyle name="40% - Accent2 6" xfId="152" xr:uid="{AC9E4671-AF4A-47C7-A0EB-1DB444A83AFF}"/>
    <cellStyle name="40% - Accent2 7" xfId="153" xr:uid="{9045600A-803E-4B63-818F-61C0FA3A2157}"/>
    <cellStyle name="40% - Accent2 8" xfId="154" xr:uid="{AC0C9C6B-ED7E-4F47-8307-2B50A2C17FB9}"/>
    <cellStyle name="40% - Accent2 9" xfId="155" xr:uid="{4BB34E32-3958-409E-9DC1-0B4703253072}"/>
    <cellStyle name="40% - Accent3 10" xfId="156" xr:uid="{D7468E52-05B4-46AA-B241-B869B8BAD3A4}"/>
    <cellStyle name="40% - Accent3 11" xfId="157" xr:uid="{9F454B28-98F5-4057-99FA-5481F01F5B66}"/>
    <cellStyle name="40% - Accent3 12" xfId="158" xr:uid="{BDF90926-A8C1-466C-A3EC-9CF42362DEBF}"/>
    <cellStyle name="40% - Accent3 13" xfId="159" xr:uid="{71C33A4A-97DE-4AD6-A6CB-427003270BCF}"/>
    <cellStyle name="40% - Accent3 14" xfId="160" xr:uid="{997A6049-1119-4F67-817D-23C4F71B46A4}"/>
    <cellStyle name="40% - Accent3 15" xfId="161" xr:uid="{DFD34953-2C4A-4DDF-85F9-8DAB31428FE9}"/>
    <cellStyle name="40% - Accent3 16" xfId="162" xr:uid="{B92C018A-9B15-4D3E-8F52-69AAF005D034}"/>
    <cellStyle name="40% - Accent3 17" xfId="163" xr:uid="{07FEC283-49DA-465A-BA51-BA3117D3282C}"/>
    <cellStyle name="40% - Accent3 18" xfId="164" xr:uid="{D214C171-F4EA-4376-884E-3560C5B67A8D}"/>
    <cellStyle name="40% - Accent3 19" xfId="165" xr:uid="{2AC4606A-D055-4760-A928-B3B153023D5C}"/>
    <cellStyle name="40% - Accent3 2" xfId="166" xr:uid="{34E62904-BC71-43EC-9B08-B0D1EC41FFF4}"/>
    <cellStyle name="40% - Accent3 20" xfId="167" xr:uid="{A932EE53-6507-4C55-926D-8370E9C6C45B}"/>
    <cellStyle name="40% - Accent3 3" xfId="168" xr:uid="{F6F11913-F494-4716-801C-4EC2D1ED8CF5}"/>
    <cellStyle name="40% - Accent3 4" xfId="169" xr:uid="{6592B6DB-A682-42DF-83EE-F19A408B71BC}"/>
    <cellStyle name="40% - Accent3 5" xfId="170" xr:uid="{CFFD7349-2346-4D5B-96A0-20A100B1F069}"/>
    <cellStyle name="40% - Accent3 6" xfId="171" xr:uid="{6B99A44E-00E9-418D-95EF-954C95C2FC7C}"/>
    <cellStyle name="40% - Accent3 7" xfId="172" xr:uid="{2F309479-4317-4792-86C9-7A07DD7EF282}"/>
    <cellStyle name="40% - Accent3 8" xfId="173" xr:uid="{765C249C-E1C6-4230-B740-A980B1987854}"/>
    <cellStyle name="40% - Accent3 9" xfId="174" xr:uid="{0D6D88EE-9451-4A9A-84C1-BDD37A2020B1}"/>
    <cellStyle name="40% - Accent4 10" xfId="175" xr:uid="{75C1E66A-9545-4E49-95CA-96C504FC3CAE}"/>
    <cellStyle name="40% - Accent4 11" xfId="176" xr:uid="{666DC839-210C-4682-A1EB-9974B353D8E5}"/>
    <cellStyle name="40% - Accent4 12" xfId="177" xr:uid="{F8536113-B728-4DD8-BCDB-E4CBD8C72941}"/>
    <cellStyle name="40% - Accent4 13" xfId="178" xr:uid="{2C5FA6AE-80EC-43A7-B1D8-E4B0DC9084B2}"/>
    <cellStyle name="40% - Accent4 14" xfId="179" xr:uid="{03A007E8-165B-4C23-9615-447ADB18C7F5}"/>
    <cellStyle name="40% - Accent4 15" xfId="180" xr:uid="{503D0F7D-F878-41F8-880E-84542181EBF6}"/>
    <cellStyle name="40% - Accent4 16" xfId="181" xr:uid="{67017D16-CE5C-4AF0-BDC2-F06ED9014C47}"/>
    <cellStyle name="40% - Accent4 17" xfId="182" xr:uid="{FEEF3D0C-0FC4-4365-B1C3-4343279629BC}"/>
    <cellStyle name="40% - Accent4 18" xfId="183" xr:uid="{6B85620C-C672-4B2E-9D22-E75CFC934D64}"/>
    <cellStyle name="40% - Accent4 19" xfId="184" xr:uid="{8F4DDF8C-E49E-4F8B-AA1E-64863C8C7748}"/>
    <cellStyle name="40% - Accent4 2" xfId="185" xr:uid="{6E4B63FE-D8F8-4048-BB93-153934E6E9DF}"/>
    <cellStyle name="40% - Accent4 20" xfId="186" xr:uid="{5EC8674D-5E03-4392-A997-B7DE2CC45E58}"/>
    <cellStyle name="40% - Accent4 3" xfId="187" xr:uid="{5834B8F2-0F71-47BC-95CD-30090C8E5740}"/>
    <cellStyle name="40% - Accent4 4" xfId="188" xr:uid="{3813037D-0552-47D7-B500-68BD974F1AF4}"/>
    <cellStyle name="40% - Accent4 5" xfId="189" xr:uid="{C28B8338-130B-4432-BD0D-575790A7DC9E}"/>
    <cellStyle name="40% - Accent4 6" xfId="190" xr:uid="{FF358D07-CD83-41F4-A3BA-47C5F591AD91}"/>
    <cellStyle name="40% - Accent4 7" xfId="191" xr:uid="{82860520-BDE8-47DE-B6E8-508BB6FBF23A}"/>
    <cellStyle name="40% - Accent4 8" xfId="192" xr:uid="{6E2B5A6C-18CA-4DD4-8374-D2D459C5A704}"/>
    <cellStyle name="40% - Accent4 9" xfId="193" xr:uid="{B8710403-C9E3-404E-8CAA-BBB11154B91F}"/>
    <cellStyle name="40% - Accent5 10" xfId="194" xr:uid="{208B1BE0-BE60-49EA-8E13-8198BEA95AEB}"/>
    <cellStyle name="40% - Accent5 11" xfId="195" xr:uid="{73025E66-65DD-4C83-89F8-3D2D17FE9A87}"/>
    <cellStyle name="40% - Accent5 12" xfId="196" xr:uid="{03DD9D87-44A7-43D5-B745-A6E5E062A18D}"/>
    <cellStyle name="40% - Accent5 13" xfId="197" xr:uid="{C6C5F3A8-6699-43B0-9D9C-EEEB9120B5B3}"/>
    <cellStyle name="40% - Accent5 14" xfId="198" xr:uid="{400E993C-B658-449D-8DF3-8E2A827F2D7D}"/>
    <cellStyle name="40% - Accent5 15" xfId="199" xr:uid="{B10F6E22-8C2E-409A-A61A-4C81EFA6E334}"/>
    <cellStyle name="40% - Accent5 16" xfId="200" xr:uid="{D7E0BE26-58B2-4CBF-AFC0-961B5FE73C38}"/>
    <cellStyle name="40% - Accent5 17" xfId="201" xr:uid="{F6E39415-CB0B-4A90-93AB-5570F0FB4778}"/>
    <cellStyle name="40% - Accent5 18" xfId="202" xr:uid="{73B38AE6-6775-4509-9688-226C4E746AB1}"/>
    <cellStyle name="40% - Accent5 19" xfId="203" xr:uid="{4C4760C1-B28F-4F2E-99BC-24627C1544FA}"/>
    <cellStyle name="40% - Accent5 2" xfId="204" xr:uid="{A840C433-032B-4E85-BE14-44A8C532EE15}"/>
    <cellStyle name="40% - Accent5 20" xfId="205" xr:uid="{3BDE5C6F-1D32-4BDA-8210-4FF3F1EBAC89}"/>
    <cellStyle name="40% - Accent5 3" xfId="206" xr:uid="{87658565-1266-4CB1-B203-0A3063D83F84}"/>
    <cellStyle name="40% - Accent5 4" xfId="207" xr:uid="{694FDD42-4EA1-4027-876A-5B1AC30F2B36}"/>
    <cellStyle name="40% - Accent5 5" xfId="208" xr:uid="{5EC67EA5-12FE-45ED-AB16-5B3AE445DF03}"/>
    <cellStyle name="40% - Accent5 6" xfId="209" xr:uid="{CCF40621-BAE4-43A0-95ED-545B1DED675E}"/>
    <cellStyle name="40% - Accent5 7" xfId="210" xr:uid="{B8093DA3-9061-4B55-A9AF-070A5AD6E519}"/>
    <cellStyle name="40% - Accent5 8" xfId="211" xr:uid="{D6EF45DD-2547-4EDF-A76F-3C76CF1CA612}"/>
    <cellStyle name="40% - Accent5 9" xfId="212" xr:uid="{8FFECAB9-69D6-4357-A0B7-5D8A41A4B245}"/>
    <cellStyle name="40% - Accent6 10" xfId="213" xr:uid="{48456A4F-064D-40C0-9BE6-C4EDD5280FA7}"/>
    <cellStyle name="40% - Accent6 11" xfId="214" xr:uid="{9F960AAC-F46C-4FDD-A8DA-6BFF7661210D}"/>
    <cellStyle name="40% - Accent6 12" xfId="215" xr:uid="{0CDC0857-3BF9-43D8-8C52-C1D0CAD36A03}"/>
    <cellStyle name="40% - Accent6 13" xfId="216" xr:uid="{86E327A6-C477-4B3D-BC30-2F3A70D45C49}"/>
    <cellStyle name="40% - Accent6 14" xfId="217" xr:uid="{3FBB5A65-E424-4C05-A938-A2B7879C1853}"/>
    <cellStyle name="40% - Accent6 15" xfId="218" xr:uid="{3BD15BC9-71CA-4C82-87FB-46EE50E44F43}"/>
    <cellStyle name="40% - Accent6 16" xfId="219" xr:uid="{8E78728C-F9B5-442F-B760-555537E3DF11}"/>
    <cellStyle name="40% - Accent6 17" xfId="220" xr:uid="{537CE220-4CB2-4106-A18B-00BE68FAD86D}"/>
    <cellStyle name="40% - Accent6 18" xfId="221" xr:uid="{7F00DEFE-469D-4584-9490-81692368489C}"/>
    <cellStyle name="40% - Accent6 19" xfId="222" xr:uid="{E27E072F-D409-4D5A-B831-CE45FB2F2199}"/>
    <cellStyle name="40% - Accent6 2" xfId="223" xr:uid="{945C6D9D-693E-4A24-9991-04BD12B3C9E1}"/>
    <cellStyle name="40% - Accent6 20" xfId="224" xr:uid="{4D7606A4-B11E-40D3-A150-23BE6D53D239}"/>
    <cellStyle name="40% - Accent6 3" xfId="225" xr:uid="{54A93B90-B80D-455C-844E-BF6F848CBB69}"/>
    <cellStyle name="40% - Accent6 4" xfId="226" xr:uid="{AFC5E890-211A-4735-82D4-2DD2887541DF}"/>
    <cellStyle name="40% - Accent6 5" xfId="227" xr:uid="{4D3BB7EA-F378-4A8E-8CD2-792D4D035CC9}"/>
    <cellStyle name="40% - Accent6 6" xfId="228" xr:uid="{07DE5519-A563-4053-8DC5-19C78A005358}"/>
    <cellStyle name="40% - Accent6 7" xfId="229" xr:uid="{1C1AEBCD-7291-4BB4-8648-45C3A2E3BBF5}"/>
    <cellStyle name="40% - Accent6 8" xfId="230" xr:uid="{3E41A368-2E58-429B-8D2A-E067A5949A75}"/>
    <cellStyle name="40% - Accent6 9" xfId="231" xr:uid="{91444918-4F15-4F8A-9424-010242AD4803}"/>
    <cellStyle name="60% - Accent1 10" xfId="232" xr:uid="{F1A71848-F24B-487D-8DC3-A01FA0CFFA9C}"/>
    <cellStyle name="60% - Accent1 11" xfId="233" xr:uid="{E080F532-DCAA-436D-AAAA-2386D38A93D9}"/>
    <cellStyle name="60% - Accent1 12" xfId="234" xr:uid="{989E2E71-0008-40C1-AC95-61C9B9519F98}"/>
    <cellStyle name="60% - Accent1 13" xfId="235" xr:uid="{0AAB9603-2189-41A0-8990-06FC66A65285}"/>
    <cellStyle name="60% - Accent1 14" xfId="236" xr:uid="{7FF82173-EE2D-4B40-B438-8F6029DB2288}"/>
    <cellStyle name="60% - Accent1 15" xfId="237" xr:uid="{637FD8FE-9512-45C5-873F-0D0643558499}"/>
    <cellStyle name="60% - Accent1 16" xfId="238" xr:uid="{E3DC5F80-CD6E-4DC1-9323-C3DF58B59D1B}"/>
    <cellStyle name="60% - Accent1 17" xfId="239" xr:uid="{6D61A189-3F98-4353-9B1E-C1DFC3D5741E}"/>
    <cellStyle name="60% - Accent1 18" xfId="240" xr:uid="{9C2A01CC-CD0A-42BE-B0AD-EFA295A2B049}"/>
    <cellStyle name="60% - Accent1 19" xfId="241" xr:uid="{BF9B1237-4775-485E-A54E-F69F44D67C2A}"/>
    <cellStyle name="60% - Accent1 2" xfId="242" xr:uid="{2EA4FBD5-AB60-4AEA-807A-29DD1E40D6C6}"/>
    <cellStyle name="60% - Accent1 20" xfId="243" xr:uid="{76DFD6CD-DA81-441E-811A-26565C4A8C08}"/>
    <cellStyle name="60% - Accent1 3" xfId="244" xr:uid="{EF966F66-2E57-4B20-BC18-AB4A3DCF3F19}"/>
    <cellStyle name="60% - Accent1 4" xfId="245" xr:uid="{3AB824A2-6158-4176-AA89-A28FCD8B7459}"/>
    <cellStyle name="60% - Accent1 5" xfId="246" xr:uid="{4EDF8D7A-91CF-4B08-BD47-FA6378562CC8}"/>
    <cellStyle name="60% - Accent1 6" xfId="247" xr:uid="{70BA7129-980B-4E9C-AE2A-47CEDA5CA336}"/>
    <cellStyle name="60% - Accent1 7" xfId="248" xr:uid="{34475C1C-3D67-42A8-9710-F1B0EDF23A0A}"/>
    <cellStyle name="60% - Accent1 8" xfId="249" xr:uid="{0E31EB46-47D3-4967-A9EC-415E2C4BBCF5}"/>
    <cellStyle name="60% - Accent1 9" xfId="250" xr:uid="{2848883C-26C9-4160-92E3-769FBE3B9162}"/>
    <cellStyle name="60% - Accent2 10" xfId="251" xr:uid="{05A2B89B-DE61-4704-B3AC-F2777F94AF49}"/>
    <cellStyle name="60% - Accent2 11" xfId="252" xr:uid="{2E08DCFA-0B50-4730-9BD5-7C47B8A0BD86}"/>
    <cellStyle name="60% - Accent2 12" xfId="253" xr:uid="{2653CC71-6210-45A2-9CE7-2A49E2078801}"/>
    <cellStyle name="60% - Accent2 13" xfId="254" xr:uid="{DB7AEFCE-C48D-4663-A548-C23F9673F469}"/>
    <cellStyle name="60% - Accent2 14" xfId="255" xr:uid="{7672B695-633F-4859-AE5B-7136C54CB7EA}"/>
    <cellStyle name="60% - Accent2 15" xfId="256" xr:uid="{FCCCE44A-7449-4F84-8E40-1CB484B2D223}"/>
    <cellStyle name="60% - Accent2 16" xfId="257" xr:uid="{F8FEC36A-4E37-4948-B1B1-E0064007DEE7}"/>
    <cellStyle name="60% - Accent2 17" xfId="258" xr:uid="{D696CE95-D166-4FC4-9800-5E04415B4B3E}"/>
    <cellStyle name="60% - Accent2 18" xfId="259" xr:uid="{B168AA85-D768-4C86-B0E2-68E2B610B5E1}"/>
    <cellStyle name="60% - Accent2 19" xfId="260" xr:uid="{6CE6F433-076E-4662-8984-A4D7DB8F4769}"/>
    <cellStyle name="60% - Accent2 2" xfId="261" xr:uid="{48FD5918-C20D-4C22-8C0C-A3FB67CF697B}"/>
    <cellStyle name="60% - Accent2 20" xfId="262" xr:uid="{29AF6310-D4E1-4759-82B1-99AF6DE64A65}"/>
    <cellStyle name="60% - Accent2 3" xfId="263" xr:uid="{00B1B139-0A4A-411B-B514-F5F519B386B6}"/>
    <cellStyle name="60% - Accent2 4" xfId="264" xr:uid="{188A3E61-2B94-4A1E-8173-7419365B05A5}"/>
    <cellStyle name="60% - Accent2 5" xfId="265" xr:uid="{6DB1691A-7A1B-4863-BD17-6769CAAA8325}"/>
    <cellStyle name="60% - Accent2 6" xfId="266" xr:uid="{370A879D-7507-462A-B4B5-C751140B88B6}"/>
    <cellStyle name="60% - Accent2 7" xfId="267" xr:uid="{0994B93D-64D5-4011-A197-A905B637FBDF}"/>
    <cellStyle name="60% - Accent2 8" xfId="268" xr:uid="{3BA2BA62-CA73-481A-B74F-5FEE6A774EF2}"/>
    <cellStyle name="60% - Accent2 9" xfId="269" xr:uid="{50C0D171-281D-427B-87A2-5677CAD220E8}"/>
    <cellStyle name="60% - Accent3 10" xfId="270" xr:uid="{3BBE2B50-F545-485D-B3B9-0AA9532CB065}"/>
    <cellStyle name="60% - Accent3 11" xfId="271" xr:uid="{FAC96F47-F13F-49F2-8912-887BB98880D0}"/>
    <cellStyle name="60% - Accent3 12" xfId="272" xr:uid="{D1233A43-6225-4A4B-9926-6E8FF6E9FB82}"/>
    <cellStyle name="60% - Accent3 13" xfId="273" xr:uid="{D960C832-D682-4C14-9D3E-08B4CCA017B8}"/>
    <cellStyle name="60% - Accent3 14" xfId="274" xr:uid="{AB1EEDE8-99D2-4459-94A4-758F365E3B05}"/>
    <cellStyle name="60% - Accent3 15" xfId="275" xr:uid="{919F1E0C-D23A-41D9-BB57-FAE43FD3CD1D}"/>
    <cellStyle name="60% - Accent3 16" xfId="276" xr:uid="{E69EA0C1-76D3-44D5-9F5F-D5725A3BEF27}"/>
    <cellStyle name="60% - Accent3 17" xfId="277" xr:uid="{C2EABDC7-CED5-4E21-AA32-6108CF1F37FB}"/>
    <cellStyle name="60% - Accent3 18" xfId="278" xr:uid="{33F8B0A4-C01E-4259-8D1C-95BACC02452C}"/>
    <cellStyle name="60% - Accent3 19" xfId="279" xr:uid="{235B80C6-D81D-4998-92CC-9C8E45051892}"/>
    <cellStyle name="60% - Accent3 2" xfId="280" xr:uid="{77F5627C-8D1A-4A0A-AB87-9EE090BDEB1C}"/>
    <cellStyle name="60% - Accent3 20" xfId="281" xr:uid="{7D1AC3C6-A071-4D06-A132-72D29A35610E}"/>
    <cellStyle name="60% - Accent3 3" xfId="282" xr:uid="{5E2AD743-5A5A-48FB-9C18-9629929B3F3D}"/>
    <cellStyle name="60% - Accent3 4" xfId="283" xr:uid="{73FC1E7E-34CB-4539-9FDB-9C550D50141A}"/>
    <cellStyle name="60% - Accent3 5" xfId="284" xr:uid="{4BF52818-AC3D-4FEB-A5E8-13B724E57644}"/>
    <cellStyle name="60% - Accent3 6" xfId="285" xr:uid="{3A04E1BD-56FF-4AF0-8A40-0797254A8253}"/>
    <cellStyle name="60% - Accent3 7" xfId="286" xr:uid="{358CD008-44C4-4D4A-87D7-C9700F3C5279}"/>
    <cellStyle name="60% - Accent3 8" xfId="287" xr:uid="{33954339-E1E6-4A4C-BF9F-578EC575B197}"/>
    <cellStyle name="60% - Accent3 9" xfId="288" xr:uid="{11923CAA-AD2D-4228-AFB9-DEB87C77B2FB}"/>
    <cellStyle name="60% - Accent4 10" xfId="289" xr:uid="{DC75997C-9A1A-43D5-BDE2-ABCF1F8E3F1C}"/>
    <cellStyle name="60% - Accent4 11" xfId="290" xr:uid="{493F17E3-16AE-43B4-A141-A3E17955B1F2}"/>
    <cellStyle name="60% - Accent4 12" xfId="291" xr:uid="{02225DA3-80CA-4434-AC2D-D1DFC64827A2}"/>
    <cellStyle name="60% - Accent4 13" xfId="292" xr:uid="{66731FCD-26E3-4501-99E2-B7E058832295}"/>
    <cellStyle name="60% - Accent4 14" xfId="293" xr:uid="{9842DCFF-C411-42F8-B232-26F3573AEBAB}"/>
    <cellStyle name="60% - Accent4 15" xfId="294" xr:uid="{7D3BA70B-C134-41CD-90C8-CC34E2E8D859}"/>
    <cellStyle name="60% - Accent4 16" xfId="295" xr:uid="{68D0BD95-C4A7-4147-945D-63B26002588C}"/>
    <cellStyle name="60% - Accent4 17" xfId="296" xr:uid="{BEAAE5A0-C4E1-4083-8B53-D529F578643C}"/>
    <cellStyle name="60% - Accent4 18" xfId="297" xr:uid="{48829B01-2A0A-40F6-A5F5-44169D85AE4A}"/>
    <cellStyle name="60% - Accent4 19" xfId="298" xr:uid="{CAC1CD3A-CC3B-406C-B1E6-DEAD6B881AA3}"/>
    <cellStyle name="60% - Accent4 2" xfId="299" xr:uid="{8A55080D-7067-4C01-9F1C-992E266B6436}"/>
    <cellStyle name="60% - Accent4 20" xfId="300" xr:uid="{9B64D00E-FBB2-4670-AE10-A5D05DDB0C82}"/>
    <cellStyle name="60% - Accent4 3" xfId="301" xr:uid="{27C7783E-44C5-4EC4-9E2A-F7B6219F5017}"/>
    <cellStyle name="60% - Accent4 4" xfId="302" xr:uid="{73B711A5-17C2-439E-8F8F-0CCF5A780748}"/>
    <cellStyle name="60% - Accent4 5" xfId="303" xr:uid="{5A8800C5-0CD0-4C8F-A1EE-99ACA0AC8DFD}"/>
    <cellStyle name="60% - Accent4 6" xfId="304" xr:uid="{372EC4D8-0674-4A73-99B9-FB80D694E417}"/>
    <cellStyle name="60% - Accent4 7" xfId="305" xr:uid="{ADD443FE-3C13-4CBB-AA1F-B865D0D39D7C}"/>
    <cellStyle name="60% - Accent4 8" xfId="306" xr:uid="{9AA484E0-BDDF-4D16-87C7-C81FC6C74421}"/>
    <cellStyle name="60% - Accent4 9" xfId="307" xr:uid="{176534C6-F5B0-4E93-8D13-FB0AAAB930C7}"/>
    <cellStyle name="60% - Accent5 10" xfId="308" xr:uid="{408D958D-63B2-4C37-884B-6FCDA6029E3C}"/>
    <cellStyle name="60% - Accent5 11" xfId="309" xr:uid="{DA8DF015-B07D-4F07-AAB1-A2D56909A320}"/>
    <cellStyle name="60% - Accent5 12" xfId="310" xr:uid="{9ED6618B-A749-4A1A-9820-5B30606B5A8D}"/>
    <cellStyle name="60% - Accent5 13" xfId="311" xr:uid="{F63E1F92-7407-44E1-9D2A-30B8022F67B3}"/>
    <cellStyle name="60% - Accent5 14" xfId="312" xr:uid="{349A5D10-2C2E-4712-9094-1FE124E33638}"/>
    <cellStyle name="60% - Accent5 15" xfId="313" xr:uid="{1401C97A-F022-40D4-83B2-29220D47709A}"/>
    <cellStyle name="60% - Accent5 16" xfId="314" xr:uid="{A791F05D-CBA2-438C-A700-BF1A74782F8C}"/>
    <cellStyle name="60% - Accent5 17" xfId="315" xr:uid="{E143EDC6-642E-4701-9AA0-A8423118F1F4}"/>
    <cellStyle name="60% - Accent5 18" xfId="316" xr:uid="{2D3A0988-FAD4-4C11-875B-B431FD76C9B4}"/>
    <cellStyle name="60% - Accent5 19" xfId="317" xr:uid="{9B5C0150-1E8D-4CA0-974F-716F1B8C5FA7}"/>
    <cellStyle name="60% - Accent5 2" xfId="318" xr:uid="{767FA36F-2F70-4EFF-9856-EA25ADEF7010}"/>
    <cellStyle name="60% - Accent5 20" xfId="319" xr:uid="{41DAD27C-69E6-41D7-9CA9-E2286FE30E62}"/>
    <cellStyle name="60% - Accent5 3" xfId="320" xr:uid="{B9980303-CB7D-4D8F-9407-F26EB9CFB8C7}"/>
    <cellStyle name="60% - Accent5 4" xfId="321" xr:uid="{B1A44773-FCDE-490C-9A1E-AA24D7C7FEAD}"/>
    <cellStyle name="60% - Accent5 5" xfId="322" xr:uid="{22767149-E278-4403-B2B4-2C3B8E5F0E60}"/>
    <cellStyle name="60% - Accent5 6" xfId="323" xr:uid="{B924B9EB-E55C-4D4B-93B9-9DA0A49BCD99}"/>
    <cellStyle name="60% - Accent5 7" xfId="324" xr:uid="{3DC96091-7C0D-4D88-B638-E66E73D7A478}"/>
    <cellStyle name="60% - Accent5 8" xfId="325" xr:uid="{F6898A11-A7FC-451E-ADD5-1B91CF387447}"/>
    <cellStyle name="60% - Accent5 9" xfId="326" xr:uid="{9364D4B8-ABC0-44EE-A16F-2AFEACD82F7D}"/>
    <cellStyle name="60% - Accent6 10" xfId="327" xr:uid="{D92C3E11-7574-4027-962E-673606D905CA}"/>
    <cellStyle name="60% - Accent6 11" xfId="328" xr:uid="{EF6AA165-3A91-4354-A16F-41592ED0C992}"/>
    <cellStyle name="60% - Accent6 12" xfId="329" xr:uid="{9D5D2160-E11A-49DB-BFD0-A6DD0246B94A}"/>
    <cellStyle name="60% - Accent6 13" xfId="330" xr:uid="{64149A29-763F-4CF9-A663-22803B463EA5}"/>
    <cellStyle name="60% - Accent6 14" xfId="331" xr:uid="{58B9E97F-232F-4C90-8CB8-0ED2542C8C29}"/>
    <cellStyle name="60% - Accent6 15" xfId="332" xr:uid="{E642EED5-8270-423E-AE86-06DA7455FEEC}"/>
    <cellStyle name="60% - Accent6 16" xfId="333" xr:uid="{9E227CE1-9F11-4CB3-A203-8174F43D91AD}"/>
    <cellStyle name="60% - Accent6 17" xfId="334" xr:uid="{905D3FAC-5AC8-41DF-A428-EA7BBBDBCC76}"/>
    <cellStyle name="60% - Accent6 18" xfId="335" xr:uid="{F69E3468-20CC-4B10-94F9-687130D3A317}"/>
    <cellStyle name="60% - Accent6 19" xfId="336" xr:uid="{E543F547-FB7F-41A5-9889-140F2D2EE3BF}"/>
    <cellStyle name="60% - Accent6 2" xfId="337" xr:uid="{09209005-127B-4FF5-B38A-9AB2F6ECA32D}"/>
    <cellStyle name="60% - Accent6 20" xfId="338" xr:uid="{42164B52-7EB0-4736-98CD-31068154F432}"/>
    <cellStyle name="60% - Accent6 3" xfId="339" xr:uid="{02E858E9-D1A3-42B1-971C-4C1479BAF351}"/>
    <cellStyle name="60% - Accent6 4" xfId="340" xr:uid="{1CEB7017-A0B9-40D0-8AC7-808F23AB729F}"/>
    <cellStyle name="60% - Accent6 5" xfId="341" xr:uid="{79DF54AE-E2B3-4D4A-8F79-AB802587EBC8}"/>
    <cellStyle name="60% - Accent6 6" xfId="342" xr:uid="{B5B99F43-7AF3-46BF-9CE4-973C6F4537E7}"/>
    <cellStyle name="60% - Accent6 7" xfId="343" xr:uid="{9E5E84FB-2B4B-4EEA-A62C-8E74D00C2E7D}"/>
    <cellStyle name="60% - Accent6 8" xfId="344" xr:uid="{D6BA8813-B6E9-43DF-A9B1-8B357150287E}"/>
    <cellStyle name="60% - Accent6 9" xfId="345" xr:uid="{98241A49-501E-48A7-853C-E4A362E0CE31}"/>
    <cellStyle name="Accent1 10" xfId="346" xr:uid="{7C90BF99-8485-43F7-8E8E-7062DAF4991C}"/>
    <cellStyle name="Accent1 11" xfId="347" xr:uid="{5A09CFB8-2FDD-49DF-A1CD-2B04296187FE}"/>
    <cellStyle name="Accent1 12" xfId="348" xr:uid="{F517A0DA-4C45-4027-99D6-25DCD93B0B63}"/>
    <cellStyle name="Accent1 13" xfId="349" xr:uid="{8DCF5409-BCB0-4E05-92BE-20C73C5AE74B}"/>
    <cellStyle name="Accent1 14" xfId="350" xr:uid="{991845F8-951A-4348-8164-E4C8FCE53012}"/>
    <cellStyle name="Accent1 15" xfId="351" xr:uid="{A2EF0D1C-E659-464C-922D-35B2D59A4677}"/>
    <cellStyle name="Accent1 16" xfId="352" xr:uid="{2851EC61-E41E-44E7-8CCC-7F608932C8DE}"/>
    <cellStyle name="Accent1 17" xfId="353" xr:uid="{73B8ED44-6BB7-4FE4-8995-000642EC63A9}"/>
    <cellStyle name="Accent1 18" xfId="354" xr:uid="{80D8DD6C-E84F-4F7A-A134-81DB4ED1A7D2}"/>
    <cellStyle name="Accent1 19" xfId="355" xr:uid="{6DA12E5F-A992-4F37-A93A-4035001895A4}"/>
    <cellStyle name="Accent1 2" xfId="356" xr:uid="{0B009E9D-EAC4-44E5-801E-F78CB4E49A51}"/>
    <cellStyle name="Accent1 20" xfId="357" xr:uid="{98434B68-DD38-4A0E-ADBE-20540C23221D}"/>
    <cellStyle name="Accent1 3" xfId="358" xr:uid="{995F8EF7-8F86-4AC8-9921-609E3E068279}"/>
    <cellStyle name="Accent1 4" xfId="359" xr:uid="{9E28624E-26DD-4553-B3C2-9D2FC76D8276}"/>
    <cellStyle name="Accent1 5" xfId="360" xr:uid="{306C5038-BC1A-4430-85B9-DDEBD85BAC0B}"/>
    <cellStyle name="Accent1 6" xfId="361" xr:uid="{C2EA4974-F777-4002-950D-4E1E4524D4FF}"/>
    <cellStyle name="Accent1 7" xfId="362" xr:uid="{BB99A6ED-E4D3-4E33-8ED8-CE9E099213E3}"/>
    <cellStyle name="Accent1 8" xfId="363" xr:uid="{3FDC0663-D893-4359-A7CA-BCC6CAA5E13D}"/>
    <cellStyle name="Accent1 9" xfId="364" xr:uid="{7361F955-5D4C-4D73-84DB-B80F8572B4C6}"/>
    <cellStyle name="Accent2 10" xfId="365" xr:uid="{F8D0B2D1-435E-44DE-A551-6F0C1E510F65}"/>
    <cellStyle name="Accent2 11" xfId="366" xr:uid="{BCEE2E23-ED5A-42AA-91EC-CCC4B8CD1F7D}"/>
    <cellStyle name="Accent2 12" xfId="367" xr:uid="{6E78A44D-FFAD-4339-A429-78762FA6CC5B}"/>
    <cellStyle name="Accent2 13" xfId="368" xr:uid="{2F473009-5750-412D-8868-068F14068105}"/>
    <cellStyle name="Accent2 14" xfId="369" xr:uid="{D9C5C286-84CF-4ECA-AF05-8173C07D49FD}"/>
    <cellStyle name="Accent2 15" xfId="370" xr:uid="{6DB6BDF4-8765-437A-B0E7-5C00EFE00C3A}"/>
    <cellStyle name="Accent2 16" xfId="371" xr:uid="{031937C3-B52B-48F8-96DD-5A3D83543D50}"/>
    <cellStyle name="Accent2 17" xfId="372" xr:uid="{3274EA4F-5785-4644-A192-6EC9FF016181}"/>
    <cellStyle name="Accent2 18" xfId="373" xr:uid="{A8E41A1C-9F14-4418-8A80-A961A444B123}"/>
    <cellStyle name="Accent2 19" xfId="374" xr:uid="{8BF61C17-F357-4396-9764-6A63DA82005A}"/>
    <cellStyle name="Accent2 2" xfId="375" xr:uid="{9911B3DD-8719-48A4-9C4E-7B3298878883}"/>
    <cellStyle name="Accent2 20" xfId="376" xr:uid="{E03E8168-1404-468A-903C-CBFF141C2DD8}"/>
    <cellStyle name="Accent2 3" xfId="377" xr:uid="{0A615334-36AF-4795-8D69-F577CAE3B324}"/>
    <cellStyle name="Accent2 4" xfId="378" xr:uid="{6AFDF301-2F46-4AB9-8E6D-33BA230FFF69}"/>
    <cellStyle name="Accent2 5" xfId="379" xr:uid="{2E6C9250-AEE8-4605-8797-2E3396B35D2B}"/>
    <cellStyle name="Accent2 6" xfId="380" xr:uid="{3805B8FD-8327-4BC8-B417-A4B551AF1781}"/>
    <cellStyle name="Accent2 7" xfId="381" xr:uid="{A8B6ECD2-22A2-490D-A9D9-A091A247302A}"/>
    <cellStyle name="Accent2 8" xfId="382" xr:uid="{F1804B05-F3A5-49C1-AEE0-DEB4E269F6BB}"/>
    <cellStyle name="Accent2 9" xfId="383" xr:uid="{0B571DDD-F56A-49B0-8A5F-358767ADF6AD}"/>
    <cellStyle name="Accent3 10" xfId="384" xr:uid="{85628D00-8F26-47E0-9D6E-7739F7B4C5CF}"/>
    <cellStyle name="Accent3 11" xfId="385" xr:uid="{CECC5B53-FEA3-4DE0-93BC-BE760BF659F4}"/>
    <cellStyle name="Accent3 12" xfId="386" xr:uid="{BC07DB24-B5C8-4F7C-B03A-0747D137A53D}"/>
    <cellStyle name="Accent3 13" xfId="387" xr:uid="{B15C63AB-4639-4B9B-868E-87C1F843636A}"/>
    <cellStyle name="Accent3 14" xfId="388" xr:uid="{13B3EB29-C3E5-4FBF-9535-5818B6896DFE}"/>
    <cellStyle name="Accent3 15" xfId="389" xr:uid="{A494382D-29ED-4092-A920-DBEDA0F6F92F}"/>
    <cellStyle name="Accent3 16" xfId="390" xr:uid="{4DAF10AA-BA29-4A7F-AB46-D92C36E7CD10}"/>
    <cellStyle name="Accent3 17" xfId="391" xr:uid="{3EF23FB0-8D75-4EE1-8819-8E058DCDFEBD}"/>
    <cellStyle name="Accent3 18" xfId="392" xr:uid="{40298D5A-E6C4-42E2-AEDF-096D7BA143E0}"/>
    <cellStyle name="Accent3 19" xfId="393" xr:uid="{1FB900BA-68BC-4EFF-BF7D-D4AC92281F0E}"/>
    <cellStyle name="Accent3 2" xfId="394" xr:uid="{4C95CC25-9084-47BA-AEDD-7B7E1A275AAC}"/>
    <cellStyle name="Accent3 20" xfId="395" xr:uid="{A9E28C3B-6A07-4F50-A0B6-6473FD212716}"/>
    <cellStyle name="Accent3 3" xfId="396" xr:uid="{8D6BCAEE-4C9C-4C31-BFE6-87D342BD8045}"/>
    <cellStyle name="Accent3 4" xfId="397" xr:uid="{FDB201A7-BE41-49C9-9FEE-A3E7581864FD}"/>
    <cellStyle name="Accent3 5" xfId="398" xr:uid="{455AF11B-F347-42EF-B799-186874F322BA}"/>
    <cellStyle name="Accent3 6" xfId="399" xr:uid="{EB416C95-E57D-4A87-9D90-4D143F541AD2}"/>
    <cellStyle name="Accent3 7" xfId="400" xr:uid="{37FCBC6E-457F-4AB7-8885-CE91C6BE51F8}"/>
    <cellStyle name="Accent3 8" xfId="401" xr:uid="{43DA317A-8BDD-44F7-930C-CB42B26E050B}"/>
    <cellStyle name="Accent3 9" xfId="402" xr:uid="{81C266B5-D942-42D3-B536-2B48AF6F54F8}"/>
    <cellStyle name="Accent4 10" xfId="403" xr:uid="{FF843DAE-CCB3-4EBF-A967-295C3FA3F21D}"/>
    <cellStyle name="Accent4 11" xfId="404" xr:uid="{BFCECD68-BF67-424C-A185-F6255BCBA765}"/>
    <cellStyle name="Accent4 12" xfId="405" xr:uid="{85394739-8D40-4C2C-BDD1-D9D403602ED6}"/>
    <cellStyle name="Accent4 13" xfId="406" xr:uid="{40551BD1-2C9D-4C36-B805-AE1596E16CAB}"/>
    <cellStyle name="Accent4 14" xfId="407" xr:uid="{E9C0B515-2B7E-4098-9BE9-3196B797F125}"/>
    <cellStyle name="Accent4 15" xfId="408" xr:uid="{0ACF5D6E-0C6F-4302-B763-C39CF1533AB4}"/>
    <cellStyle name="Accent4 16" xfId="409" xr:uid="{86A4EA74-CBAF-43F5-B8BA-1E3BC035F36B}"/>
    <cellStyle name="Accent4 17" xfId="410" xr:uid="{7276DA02-8A7A-47B0-A7FB-0B66FD63D74B}"/>
    <cellStyle name="Accent4 18" xfId="411" xr:uid="{29B7BD64-D153-47E4-96B7-A895F671D3CF}"/>
    <cellStyle name="Accent4 19" xfId="412" xr:uid="{137D47E1-5249-4987-B726-83D322C967CB}"/>
    <cellStyle name="Accent4 2" xfId="413" xr:uid="{5C1ABB42-595C-404E-9B0D-7827DFFA9A05}"/>
    <cellStyle name="Accent4 20" xfId="414" xr:uid="{68A1786C-435A-4B21-8338-0D0DA31621EE}"/>
    <cellStyle name="Accent4 3" xfId="415" xr:uid="{3C5DD5FF-812F-4F21-9D04-56D2B4DB8A8F}"/>
    <cellStyle name="Accent4 4" xfId="416" xr:uid="{D67CE442-5D33-4281-A8BC-AE958113667E}"/>
    <cellStyle name="Accent4 5" xfId="417" xr:uid="{2BA2AE3D-ACB9-43C2-A476-13B65A1471AB}"/>
    <cellStyle name="Accent4 6" xfId="418" xr:uid="{ECDD18D0-1AD4-46D6-8459-349AD1D592D5}"/>
    <cellStyle name="Accent4 7" xfId="419" xr:uid="{8AF029B4-875C-4572-BFF0-C75B5A2F3F3F}"/>
    <cellStyle name="Accent4 8" xfId="420" xr:uid="{DB7B3E1F-439F-45DF-BF2D-4663D4EEAF50}"/>
    <cellStyle name="Accent4 9" xfId="421" xr:uid="{CCB79EBA-AF14-4040-8D2F-DC60BA71BDF1}"/>
    <cellStyle name="Accent5 10" xfId="422" xr:uid="{8AD26962-BD62-4A54-AAE4-511F901FF9FF}"/>
    <cellStyle name="Accent5 11" xfId="423" xr:uid="{1FA02A5C-ADAF-401A-9876-BFF0BE92B00F}"/>
    <cellStyle name="Accent5 12" xfId="424" xr:uid="{47D17284-28C4-41D3-986F-411B9ED064ED}"/>
    <cellStyle name="Accent5 13" xfId="425" xr:uid="{7D908011-948D-49A0-967B-6323C8A0711F}"/>
    <cellStyle name="Accent5 14" xfId="426" xr:uid="{55D91ED2-FC2A-4356-8EEB-2EF5FC676823}"/>
    <cellStyle name="Accent5 15" xfId="427" xr:uid="{49A5C220-423B-408E-B8E4-5E18747DE3C2}"/>
    <cellStyle name="Accent5 16" xfId="428" xr:uid="{2CCDA8BF-26AE-4BD3-BB91-737C23E8560C}"/>
    <cellStyle name="Accent5 17" xfId="429" xr:uid="{789C5AD5-7601-4622-9DE9-A6F1FA22CF24}"/>
    <cellStyle name="Accent5 18" xfId="430" xr:uid="{0F8FC7AC-F006-4E60-8593-6A835FE4CE16}"/>
    <cellStyle name="Accent5 19" xfId="431" xr:uid="{A6C15BBF-5433-4AAF-BCEB-41AA0D880B64}"/>
    <cellStyle name="Accent5 2" xfId="432" xr:uid="{D45C100A-53D5-4586-924F-3E5F6E9C5D6D}"/>
    <cellStyle name="Accent5 20" xfId="433" xr:uid="{46B4A77B-379A-46E0-8876-1AD654E3981A}"/>
    <cellStyle name="Accent5 3" xfId="434" xr:uid="{55BD119E-FEB1-43D8-B178-DC613879576B}"/>
    <cellStyle name="Accent5 4" xfId="435" xr:uid="{27A4FF35-C62C-447F-8602-A8B16F2B7692}"/>
    <cellStyle name="Accent5 5" xfId="436" xr:uid="{4C5F8D67-1468-448D-9223-D2108F78794C}"/>
    <cellStyle name="Accent5 6" xfId="437" xr:uid="{75EA6A77-F25C-4140-8D2C-47D493D6C1BD}"/>
    <cellStyle name="Accent5 7" xfId="438" xr:uid="{4FAADBAE-081A-4FEA-94F3-89E181048B4F}"/>
    <cellStyle name="Accent5 8" xfId="439" xr:uid="{9426D5F0-918E-41EB-801D-14F4CDCE60F3}"/>
    <cellStyle name="Accent5 9" xfId="440" xr:uid="{9A6EC071-DAEF-40F1-AB96-170CDB7741C4}"/>
    <cellStyle name="Accent6 10" xfId="441" xr:uid="{4794BC0F-45D8-4B03-9BB5-8C5E562E5F4E}"/>
    <cellStyle name="Accent6 11" xfId="442" xr:uid="{45E6639C-FE0A-42F3-B155-4ABE940CE17D}"/>
    <cellStyle name="Accent6 12" xfId="443" xr:uid="{E553DFAB-8E20-4239-A379-02DB0FD97A0C}"/>
    <cellStyle name="Accent6 13" xfId="444" xr:uid="{E11E6741-1059-4072-9D93-15783643A377}"/>
    <cellStyle name="Accent6 14" xfId="445" xr:uid="{8923A754-A8BD-4953-BF0E-7A29A0FEF9C8}"/>
    <cellStyle name="Accent6 15" xfId="446" xr:uid="{7678DD2D-C79B-4A53-8E94-FEC9B4917A8E}"/>
    <cellStyle name="Accent6 16" xfId="447" xr:uid="{AF48B951-46D8-4784-A843-6D9F8DE6507B}"/>
    <cellStyle name="Accent6 17" xfId="448" xr:uid="{DF7305C5-5D3A-4531-B426-74DC7BA725C5}"/>
    <cellStyle name="Accent6 18" xfId="449" xr:uid="{EBCB2D3D-76D2-4E86-A21F-D91A922AA806}"/>
    <cellStyle name="Accent6 19" xfId="450" xr:uid="{368C899D-67F3-4DF6-986F-C10D15F59CE1}"/>
    <cellStyle name="Accent6 2" xfId="451" xr:uid="{A4B29C57-E38E-4775-AF8C-3A7A42201BCE}"/>
    <cellStyle name="Accent6 20" xfId="452" xr:uid="{8E0D6009-A9B8-4598-9DDB-3A756B0D7B9C}"/>
    <cellStyle name="Accent6 3" xfId="453" xr:uid="{E65E6A76-E300-4155-A223-C89E166E3B75}"/>
    <cellStyle name="Accent6 4" xfId="454" xr:uid="{0725B3C8-74F2-4AF0-970F-14BCDA3C2245}"/>
    <cellStyle name="Accent6 5" xfId="455" xr:uid="{F32937F7-EBE2-4DB0-9388-DC25FAF3A797}"/>
    <cellStyle name="Accent6 6" xfId="456" xr:uid="{76F5F9F3-D6D4-4972-97F7-F4341F9C462A}"/>
    <cellStyle name="Accent6 7" xfId="457" xr:uid="{394ED434-F557-4A01-B71C-05ABE73987C1}"/>
    <cellStyle name="Accent6 8" xfId="458" xr:uid="{0D26F3DD-3EBC-4A33-8907-5D387603FE9F}"/>
    <cellStyle name="Accent6 9" xfId="459" xr:uid="{CB570156-7852-4C48-99DF-82FC2997C826}"/>
    <cellStyle name="Bad 10" xfId="460" xr:uid="{0F38FBFA-5EB5-46EA-836F-BE28BDAF9735}"/>
    <cellStyle name="Bad 11" xfId="461" xr:uid="{B28DF7CF-6CF1-4231-8F44-AA6BFDE28ECC}"/>
    <cellStyle name="Bad 12" xfId="462" xr:uid="{B7E0B962-2A3D-419E-A8A8-0C6025EF08B6}"/>
    <cellStyle name="Bad 13" xfId="463" xr:uid="{FFA1F820-C20B-445A-BE9E-B3AD31D2800B}"/>
    <cellStyle name="Bad 14" xfId="464" xr:uid="{D981D6B6-D9C4-4772-AA0B-A0E1C69F3B71}"/>
    <cellStyle name="Bad 15" xfId="465" xr:uid="{79ACF6D4-9B06-47FA-92F9-F0561C86B446}"/>
    <cellStyle name="Bad 16" xfId="466" xr:uid="{15CC1C4F-1AB0-4402-A607-769D1CC04689}"/>
    <cellStyle name="Bad 17" xfId="467" xr:uid="{91326A1A-FC9C-46B5-8B59-A5FB91049AF8}"/>
    <cellStyle name="Bad 18" xfId="468" xr:uid="{F2157413-DB11-4505-B52D-A58125C32ADF}"/>
    <cellStyle name="Bad 19" xfId="469" xr:uid="{BF248D03-1344-4557-AA85-2AF38A99614D}"/>
    <cellStyle name="Bad 2" xfId="470" xr:uid="{ACEF13FF-5892-4DDE-B617-E466BEE0676D}"/>
    <cellStyle name="Bad 20" xfId="471" xr:uid="{06ECC72D-BA96-46AA-978A-8A6442D62FDE}"/>
    <cellStyle name="Bad 3" xfId="472" xr:uid="{BD458E03-1190-4531-B08A-A9A279FB0E04}"/>
    <cellStyle name="Bad 4" xfId="473" xr:uid="{E55E745B-24F3-4E89-94FC-EF8A2E72002F}"/>
    <cellStyle name="Bad 5" xfId="474" xr:uid="{A47D70DF-4B3F-4C04-BEC8-FDC10A0E3EDA}"/>
    <cellStyle name="Bad 6" xfId="475" xr:uid="{5FC7A5A5-7CAB-4244-A24C-6A891D48C90D}"/>
    <cellStyle name="Bad 7" xfId="476" xr:uid="{707E9688-2A01-4669-8C2E-8D03D97497C6}"/>
    <cellStyle name="Bad 8" xfId="477" xr:uid="{9103ED6D-2194-4998-A560-09171A4D0AEE}"/>
    <cellStyle name="Bad 9" xfId="478" xr:uid="{7B66BF09-F867-458B-9636-5FE4B9ED77A3}"/>
    <cellStyle name="Calculation 10" xfId="479" xr:uid="{6DA3521B-34D9-4F4D-A276-B551055EE049}"/>
    <cellStyle name="Calculation 11" xfId="480" xr:uid="{ECAD9468-4C41-497E-9396-2D7309199B46}"/>
    <cellStyle name="Calculation 12" xfId="481" xr:uid="{5FEC9D42-0903-4F10-9B2E-88462314FF8F}"/>
    <cellStyle name="Calculation 13" xfId="482" xr:uid="{D71903D2-0EED-42B5-AC1C-5F49CAF4D619}"/>
    <cellStyle name="Calculation 14" xfId="483" xr:uid="{E5C27F27-AF81-4739-9284-944C46B5336E}"/>
    <cellStyle name="Calculation 15" xfId="484" xr:uid="{DD2329B8-9407-4F5D-BEC5-C43DAF91C755}"/>
    <cellStyle name="Calculation 16" xfId="485" xr:uid="{B2C9D925-E0BE-4023-9F2A-D066B790B013}"/>
    <cellStyle name="Calculation 17" xfId="486" xr:uid="{47BB307B-3F89-488A-9F27-493711616853}"/>
    <cellStyle name="Calculation 18" xfId="487" xr:uid="{17084037-9EC2-4A14-9840-6652F56B287E}"/>
    <cellStyle name="Calculation 19" xfId="488" xr:uid="{BFCA0F4B-676D-4A6C-97C6-3A9A28AA4020}"/>
    <cellStyle name="Calculation 2" xfId="489" xr:uid="{94E96958-0BF3-46D8-915B-58F3253BB392}"/>
    <cellStyle name="Calculation 20" xfId="490" xr:uid="{0FC462C1-038D-4E9F-A484-FB583298F856}"/>
    <cellStyle name="Calculation 3" xfId="491" xr:uid="{C27F9229-F100-4011-8677-0D0505B5BE89}"/>
    <cellStyle name="Calculation 4" xfId="492" xr:uid="{E7704B25-F5E2-4E8A-B8AB-02ED40DF9410}"/>
    <cellStyle name="Calculation 5" xfId="493" xr:uid="{B736C581-840C-4B24-AF42-27478293BB54}"/>
    <cellStyle name="Calculation 6" xfId="494" xr:uid="{7CB4EF38-FF46-4AD7-8776-7CC32EB82279}"/>
    <cellStyle name="Calculation 7" xfId="495" xr:uid="{B60D88B1-E983-423E-8834-C24114F46E78}"/>
    <cellStyle name="Calculation 8" xfId="496" xr:uid="{1AF1B12A-6309-4153-AA5C-95E2A54AC1FA}"/>
    <cellStyle name="Calculation 9" xfId="497" xr:uid="{9F601E4B-F841-4A9B-8338-75976D286FA5}"/>
    <cellStyle name="Check Cell 10" xfId="498" xr:uid="{4182C756-F934-4FA4-9E2D-FAB3BB8B5542}"/>
    <cellStyle name="Check Cell 11" xfId="499" xr:uid="{D7FF17E0-C7CC-4017-9E1A-CA0BF2CB0E8D}"/>
    <cellStyle name="Check Cell 12" xfId="500" xr:uid="{3680F665-326D-4C41-B7A8-473EE547A57A}"/>
    <cellStyle name="Check Cell 13" xfId="501" xr:uid="{DB7CA81E-AD46-4329-9092-328C4618D09E}"/>
    <cellStyle name="Check Cell 14" xfId="502" xr:uid="{CACA2245-3D0E-4F49-B277-E56B3D8C8CD2}"/>
    <cellStyle name="Check Cell 15" xfId="503" xr:uid="{CE4D9F14-A46B-4AFB-BE57-8F64C33714BB}"/>
    <cellStyle name="Check Cell 16" xfId="504" xr:uid="{460CCE6A-7C2E-46BC-A8D2-434081E6688F}"/>
    <cellStyle name="Check Cell 17" xfId="505" xr:uid="{5B3BD92A-68B1-471A-BA23-0714690D390F}"/>
    <cellStyle name="Check Cell 18" xfId="506" xr:uid="{085DFE64-0615-4545-8039-5285EB3E35B6}"/>
    <cellStyle name="Check Cell 19" xfId="507" xr:uid="{16376505-1945-408C-9048-61939F5AE7A2}"/>
    <cellStyle name="Check Cell 2" xfId="508" xr:uid="{2F804F80-C855-45FF-8415-419176D85F00}"/>
    <cellStyle name="Check Cell 20" xfId="509" xr:uid="{B0B5E452-F8F8-4449-A969-C2FE64C14348}"/>
    <cellStyle name="Check Cell 3" xfId="510" xr:uid="{CBFE2829-3260-45B3-B22B-C42B7BC11E39}"/>
    <cellStyle name="Check Cell 4" xfId="511" xr:uid="{99A818DC-58C0-4F37-85FE-95BDDC094166}"/>
    <cellStyle name="Check Cell 5" xfId="512" xr:uid="{368E08F2-5E74-4CDD-98EE-47FEDDE5FAEB}"/>
    <cellStyle name="Check Cell 6" xfId="513" xr:uid="{0D4A5D3D-2692-4C83-83DD-7235645D5BC4}"/>
    <cellStyle name="Check Cell 7" xfId="514" xr:uid="{58E18BCE-B32F-4645-A114-8FA1FD41B01A}"/>
    <cellStyle name="Check Cell 8" xfId="515" xr:uid="{5A011236-3C98-43E5-9A91-62A86A8A6FB2}"/>
    <cellStyle name="Check Cell 9" xfId="516" xr:uid="{929B162B-03C1-4559-B42D-928D6C37DCF0}"/>
    <cellStyle name="Comma 2" xfId="518" xr:uid="{4805FB52-38E2-4068-85DB-29A35EDCD805}"/>
    <cellStyle name="Comma 3" xfId="519" xr:uid="{F5D25D16-C7BF-4082-815C-E29B29A33708}"/>
    <cellStyle name="Comma 4" xfId="517" xr:uid="{D1862B9C-D50E-4FE0-B5B9-5EBCA5C51A0E}"/>
    <cellStyle name="Currency 2" xfId="521" xr:uid="{F74F6E02-7D88-44D3-BEB2-E39E20A8256D}"/>
    <cellStyle name="Currency 3" xfId="522" xr:uid="{7F891AE7-419E-4420-9073-1D5669815205}"/>
    <cellStyle name="Currency 4" xfId="520" xr:uid="{3829C412-0CB2-4A04-BDC9-78D3C52C0717}"/>
    <cellStyle name="Explanatory Text 10" xfId="523" xr:uid="{32F66966-6372-40E7-951D-E289AEBBC7E5}"/>
    <cellStyle name="Explanatory Text 11" xfId="524" xr:uid="{7C3E44A9-9BAC-4D94-8E0C-79FDF8A9FBC0}"/>
    <cellStyle name="Explanatory Text 12" xfId="525" xr:uid="{BCF396E3-3825-48E3-B300-DC4E680F29E0}"/>
    <cellStyle name="Explanatory Text 13" xfId="526" xr:uid="{019ED4DE-E0CC-4293-8ACF-A10C29DCE1C3}"/>
    <cellStyle name="Explanatory Text 14" xfId="527" xr:uid="{36E7A06A-A867-4044-95C0-91C08EFC964E}"/>
    <cellStyle name="Explanatory Text 15" xfId="528" xr:uid="{06C0D3C5-725D-4CAF-AE29-94AE82F45912}"/>
    <cellStyle name="Explanatory Text 16" xfId="529" xr:uid="{0965CBAC-6415-4425-9256-494301A26CED}"/>
    <cellStyle name="Explanatory Text 17" xfId="530" xr:uid="{FAC8B749-69F0-4F7E-9E1E-29E39D6D3376}"/>
    <cellStyle name="Explanatory Text 18" xfId="531" xr:uid="{5CD466AD-4CF7-480C-936C-D5CF8A85E45A}"/>
    <cellStyle name="Explanatory Text 19" xfId="532" xr:uid="{D0AAF460-FE70-4678-A94A-0445B2E0B060}"/>
    <cellStyle name="Explanatory Text 2" xfId="533" xr:uid="{C217D57C-0EB2-4262-ACD9-D1A7AAD80CA6}"/>
    <cellStyle name="Explanatory Text 20" xfId="534" xr:uid="{10E08D36-7F4E-40B2-A87E-222B6692F59E}"/>
    <cellStyle name="Explanatory Text 3" xfId="535" xr:uid="{A5657597-E184-4B0A-B82C-5F69B2FADA6C}"/>
    <cellStyle name="Explanatory Text 4" xfId="536" xr:uid="{934E5509-1351-43A2-A0A3-27BC80CFA281}"/>
    <cellStyle name="Explanatory Text 5" xfId="537" xr:uid="{5A97052B-FD76-4DE9-B057-BB434727C487}"/>
    <cellStyle name="Explanatory Text 6" xfId="538" xr:uid="{FB42DE71-EBFE-451F-A3C0-A79E66AB756E}"/>
    <cellStyle name="Explanatory Text 7" xfId="539" xr:uid="{4017BBC3-D40C-4E8E-8E1F-4F353B77E806}"/>
    <cellStyle name="Explanatory Text 8" xfId="540" xr:uid="{EBDDCE2D-3236-433A-8507-14442050EC20}"/>
    <cellStyle name="Explanatory Text 9" xfId="541" xr:uid="{3DE3F59B-D5E5-4A5F-A192-A79AEAF90986}"/>
    <cellStyle name="ExtStyle 0" xfId="542" xr:uid="{97B9DF9B-DF5F-42BF-9296-8B1D1A8667BA}"/>
    <cellStyle name="ExtStyle 0 2" xfId="543" xr:uid="{AB714E7B-0D3C-4146-A666-9A7627345218}"/>
    <cellStyle name="ExtStyle 0 3" xfId="544" xr:uid="{A052BC16-2C07-4AEE-82C3-B36E7A1728B4}"/>
    <cellStyle name="ExtStyle 16" xfId="545" xr:uid="{4394FACF-109F-4EB5-AB9C-D391197E41F3}"/>
    <cellStyle name="ExtStyle 16 2" xfId="546" xr:uid="{76A475B7-D2AE-4D07-860B-52B9D9C043BA}"/>
    <cellStyle name="ExtStyle 16 3" xfId="547" xr:uid="{C99170BF-B4E4-478A-9751-BF85E79BDEA5}"/>
    <cellStyle name="ExtStyle 17" xfId="548" xr:uid="{A68E6E05-2550-4F3D-A248-F97953DD34F6}"/>
    <cellStyle name="ExtStyle 17 2" xfId="549" xr:uid="{D5E82B1F-7933-45E8-BCFD-2F39FD5E23BC}"/>
    <cellStyle name="ExtStyle 17 3" xfId="550" xr:uid="{B686A7F3-9D73-4B4F-9C9F-86A5C2EA2FD6}"/>
    <cellStyle name="ExtStyle 18" xfId="551" xr:uid="{73F41A18-896A-45F9-A429-6E995DC6F672}"/>
    <cellStyle name="ExtStyle 18 2" xfId="552" xr:uid="{8360397A-6548-4C93-91BE-195A6F97BDE1}"/>
    <cellStyle name="ExtStyle 18 3" xfId="553" xr:uid="{620DE58D-AF7B-407D-B611-FB002B0A9E46}"/>
    <cellStyle name="ExtStyle 19" xfId="554" xr:uid="{03855461-57EE-4780-B8F1-6FA0273DBB9C}"/>
    <cellStyle name="ExtStyle 19 2" xfId="555" xr:uid="{C8A927FD-65DE-420A-9C6F-61547B07F0DD}"/>
    <cellStyle name="ExtStyle 19 3" xfId="556" xr:uid="{AA9D4932-C6FE-4F31-934E-0452724C4BD7}"/>
    <cellStyle name="ExtStyle 20" xfId="557" xr:uid="{E4AEB627-94C3-4654-8148-7C6046E35A6D}"/>
    <cellStyle name="ExtStyle 20 2" xfId="558" xr:uid="{FE4313C3-B4EF-495C-BA54-DE038075452B}"/>
    <cellStyle name="ExtStyle 20 3" xfId="559" xr:uid="{25C57FF4-8BCB-4FD6-A2EA-7FB11F370E78}"/>
    <cellStyle name="ExtStyle 21" xfId="560" xr:uid="{5A6AF12D-A1AB-4AED-9EBB-5947D8B16C6F}"/>
    <cellStyle name="ExtStyle 21 2" xfId="561" xr:uid="{58A03ED6-E306-4908-B4E3-2A4D65FCE2A3}"/>
    <cellStyle name="ExtStyle 21 3" xfId="562" xr:uid="{5C982B26-D03D-43F5-8278-22E794BBD4E0}"/>
    <cellStyle name="ExtStyle 22" xfId="563" xr:uid="{8FF9BFAE-23A2-4598-A469-4A2EA56A8077}"/>
    <cellStyle name="ExtStyle 22 2" xfId="564" xr:uid="{C869F2E3-206D-488A-A579-C88925EAFD42}"/>
    <cellStyle name="ExtStyle 22 3" xfId="565" xr:uid="{72B187B2-8762-4EB5-A9E8-51EC8607F037}"/>
    <cellStyle name="ExtStyle 28" xfId="566" xr:uid="{D78FDF95-4F69-42E5-BA66-7AFDC91B17CC}"/>
    <cellStyle name="ExtStyle 28 2" xfId="567" xr:uid="{3F2A2AF0-2723-4605-AAF4-2967ADC0F79E}"/>
    <cellStyle name="ExtStyle 28 3" xfId="568" xr:uid="{768B4ACA-DA29-4F48-A7C1-C92932CC83E6}"/>
    <cellStyle name="ExtStyle 29" xfId="569" xr:uid="{B5CEC529-3E72-45B7-B348-F01162626514}"/>
    <cellStyle name="ExtStyle 29 2" xfId="570" xr:uid="{52A026A4-7E58-4F1F-92FD-0CF8C48C1843}"/>
    <cellStyle name="ExtStyle 29 3" xfId="571" xr:uid="{7E471C8D-F122-4B65-A145-1B89F3A6BB43}"/>
    <cellStyle name="ExtStyle 30" xfId="572" xr:uid="{018D9358-4BFC-4FA5-AE45-E0341E237152}"/>
    <cellStyle name="ExtStyle 30 2" xfId="573" xr:uid="{2E1FE0A3-3F7F-4EFA-8502-29AC2679D22B}"/>
    <cellStyle name="ExtStyle 30 3" xfId="574" xr:uid="{5C22EE5F-4061-47E7-BF9C-1DBABB710F07}"/>
    <cellStyle name="ExtStyle 31" xfId="575" xr:uid="{7ACCB805-FBDA-4A59-B802-0E27DF30BB43}"/>
    <cellStyle name="ExtStyle 31 2" xfId="576" xr:uid="{91FA737C-6DE5-46D4-9827-E17FB8C2CC9E}"/>
    <cellStyle name="ExtStyle 31 3" xfId="577" xr:uid="{6789772D-9FF2-4CD4-B1C2-BE7501EFF354}"/>
    <cellStyle name="ExtStyle 32" xfId="578" xr:uid="{4D0FE577-416A-4757-970F-4AFE509FCD32}"/>
    <cellStyle name="ExtStyle 32 2" xfId="579" xr:uid="{6AD0C64B-EA4D-4154-914B-D5087C98A6AA}"/>
    <cellStyle name="ExtStyle 32 3" xfId="580" xr:uid="{A673DD38-DA68-4828-9FEE-1E0FA1FD299C}"/>
    <cellStyle name="ExtStyle 33" xfId="581" xr:uid="{E7AEC5F5-490A-4496-B7CC-DD9BA42EF614}"/>
    <cellStyle name="ExtStyle 33 2" xfId="582" xr:uid="{9AC762C6-A454-4B1E-A41E-39EB01A2AE55}"/>
    <cellStyle name="ExtStyle 33 3" xfId="583" xr:uid="{14FDDA84-901A-42B7-BFD6-B40038FC023A}"/>
    <cellStyle name="ExtStyle 34" xfId="584" xr:uid="{F0289CE4-DAE0-45DB-88F9-B6A6F7DAB503}"/>
    <cellStyle name="ExtStyle 34 2" xfId="585" xr:uid="{8FF114F9-85A8-48E9-BF17-52D4DB3769B2}"/>
    <cellStyle name="ExtStyle 34 3" xfId="586" xr:uid="{4BAF15F4-3857-4774-A91B-1D311ED2863A}"/>
    <cellStyle name="ExtStyle 35" xfId="587" xr:uid="{C9FB968F-C019-4DD2-A83F-669838497C3A}"/>
    <cellStyle name="ExtStyle 35 2" xfId="588" xr:uid="{DA4E7072-4A45-4C4A-993B-EEE5E36B0AB1}"/>
    <cellStyle name="ExtStyle 35 3" xfId="589" xr:uid="{11E5D224-DD05-4A7A-B306-1FA64D0C0813}"/>
    <cellStyle name="ExtStyle 36" xfId="590" xr:uid="{8A99124E-C135-4BD2-856C-5C77C15133E3}"/>
    <cellStyle name="ExtStyle 36 2" xfId="591" xr:uid="{8C17B8FD-C313-4E85-9E1F-78D5973224AF}"/>
    <cellStyle name="ExtStyle 36 3" xfId="592" xr:uid="{A54985D1-00CA-4292-986A-312997C1CC90}"/>
    <cellStyle name="ExtStyle 37" xfId="593" xr:uid="{CC291F38-07B0-4234-9C6E-FEF6B45A4822}"/>
    <cellStyle name="ExtStyle 37 2" xfId="594" xr:uid="{E12A4F86-506F-4AF5-B76E-5AE158DC6F75}"/>
    <cellStyle name="ExtStyle 37 3" xfId="595" xr:uid="{2A681040-592B-4037-98E3-1E4DAF564F39}"/>
    <cellStyle name="ExtStyle 38" xfId="596" xr:uid="{394F49B7-50C6-4712-838B-3D06318F1303}"/>
    <cellStyle name="ExtStyle 38 2" xfId="597" xr:uid="{658F33D3-CD0D-4DCE-892D-C68043788488}"/>
    <cellStyle name="ExtStyle 38 3" xfId="598" xr:uid="{2356FF5F-F7D4-44A6-96ED-79480F5FE7E5}"/>
    <cellStyle name="ExtStyle 39" xfId="599" xr:uid="{3EAF142B-BDDC-4DBF-A849-B03499E2E2DA}"/>
    <cellStyle name="ExtStyle 39 2" xfId="600" xr:uid="{5063DED5-AF29-46D1-9F60-83E43E287464}"/>
    <cellStyle name="ExtStyle 39 3" xfId="601" xr:uid="{6353E109-C3CB-4DCF-A5EE-9E87009CDE43}"/>
    <cellStyle name="ExtStyle 41" xfId="602" xr:uid="{0F54A4EA-8F66-4601-B541-5282F0E04635}"/>
    <cellStyle name="ExtStyle 41 2" xfId="603" xr:uid="{648B7910-312E-4140-A519-A121157A29D6}"/>
    <cellStyle name="ExtStyle 41 3" xfId="604" xr:uid="{DB809CB4-E686-4B3B-9880-75AAA57502E0}"/>
    <cellStyle name="ExtStyle 42" xfId="605" xr:uid="{3437E0B3-944C-4248-88E6-73D8BF415CA5}"/>
    <cellStyle name="ExtStyle 42 2" xfId="606" xr:uid="{9773A946-9C16-4B09-8FD1-8317E3BD02D7}"/>
    <cellStyle name="ExtStyle 42 3" xfId="607" xr:uid="{069487EC-BCD2-4914-A430-6A2A2E4E9E99}"/>
    <cellStyle name="ExtStyle 43" xfId="608" xr:uid="{5800D70F-781B-459A-AC49-962F58ABD513}"/>
    <cellStyle name="ExtStyle 43 2" xfId="609" xr:uid="{CBA5C129-8393-4DD2-B8B5-1B55D7AA29D3}"/>
    <cellStyle name="ExtStyle 43 3" xfId="610" xr:uid="{96D13FFF-49ED-4BCD-B756-87119A09E1AC}"/>
    <cellStyle name="Good 10" xfId="611" xr:uid="{D68EB8A8-C8DC-4EAA-BAC6-C93A646CB221}"/>
    <cellStyle name="Good 11" xfId="612" xr:uid="{F158C8B4-37A3-4E20-A887-446E5127C655}"/>
    <cellStyle name="Good 12" xfId="613" xr:uid="{A52ED07F-BC50-49CD-9A19-9C41E97896AE}"/>
    <cellStyle name="Good 13" xfId="614" xr:uid="{B55E8FA6-7D37-4DDD-A1F8-0ED944C24D36}"/>
    <cellStyle name="Good 14" xfId="615" xr:uid="{B387B894-BD9E-427D-8DE8-313246D2AF2A}"/>
    <cellStyle name="Good 15" xfId="616" xr:uid="{E2BA000B-FD45-4156-9A04-9688246341DA}"/>
    <cellStyle name="Good 16" xfId="617" xr:uid="{AEC29B34-A124-41D6-95EE-FAFDA4D1EE60}"/>
    <cellStyle name="Good 17" xfId="618" xr:uid="{D2337974-0B85-42D9-944A-D6FE12F77B58}"/>
    <cellStyle name="Good 18" xfId="619" xr:uid="{366AE2F2-6FF7-4C22-B8D5-7273FF0353B6}"/>
    <cellStyle name="Good 19" xfId="620" xr:uid="{EFEC5EBE-ADDB-4965-BB40-48F3C923E459}"/>
    <cellStyle name="Good 2" xfId="621" xr:uid="{D00B975B-B051-4CB9-BE07-0DD2D0C6A9C0}"/>
    <cellStyle name="Good 20" xfId="622" xr:uid="{C324E783-E83E-4E23-8AA2-CA8BAA72AAAC}"/>
    <cellStyle name="Good 3" xfId="623" xr:uid="{46F3CA7B-FB80-428B-9303-3AB4619E6D79}"/>
    <cellStyle name="Good 4" xfId="624" xr:uid="{96624DB2-BAEB-4A3F-9DD8-DFA465047854}"/>
    <cellStyle name="Good 5" xfId="625" xr:uid="{3FD83887-BA5E-48D6-B7F0-442F30054A50}"/>
    <cellStyle name="Good 6" xfId="626" xr:uid="{50BFF879-373A-4946-8EFF-65C16669E41E}"/>
    <cellStyle name="Good 7" xfId="627" xr:uid="{C716543E-D80D-4B28-909E-090C3726202F}"/>
    <cellStyle name="Good 8" xfId="628" xr:uid="{B2CE5E01-2F5A-4664-B317-FA26B0C64118}"/>
    <cellStyle name="Good 9" xfId="629" xr:uid="{4235C163-5F30-4AE0-A65E-3C38A14FC31F}"/>
    <cellStyle name="Heading 1 10" xfId="630" xr:uid="{BD5155E6-8F63-42B4-9F5C-7AD31F9831D2}"/>
    <cellStyle name="Heading 1 11" xfId="631" xr:uid="{22AEAAF3-CF00-41CE-A895-F07270F78347}"/>
    <cellStyle name="Heading 1 12" xfId="632" xr:uid="{AE796B9F-AF8B-414B-A938-0F37BDDB1CDC}"/>
    <cellStyle name="Heading 1 13" xfId="633" xr:uid="{3AB4ECD3-5AA4-496C-9203-38F83704075A}"/>
    <cellStyle name="Heading 1 14" xfId="634" xr:uid="{EF06A1F0-044C-4ED1-8825-FC5ADA6143EA}"/>
    <cellStyle name="Heading 1 15" xfId="635" xr:uid="{EEE63CC5-EED0-4FA6-86DC-4807466C94CF}"/>
    <cellStyle name="Heading 1 16" xfId="636" xr:uid="{2882DBC8-EEF1-4C89-BEB7-E4F7886E8BAC}"/>
    <cellStyle name="Heading 1 17" xfId="637" xr:uid="{44FBB116-B225-49B6-AC5F-2E353DE6A135}"/>
    <cellStyle name="Heading 1 18" xfId="638" xr:uid="{F2BB3A60-F36A-4F2F-B4B6-F1A44949A68F}"/>
    <cellStyle name="Heading 1 19" xfId="639" xr:uid="{4420452A-6D92-4BFC-8A93-27BC90D40781}"/>
    <cellStyle name="Heading 1 2" xfId="640" xr:uid="{B9BEAE81-6B45-4216-8F7C-FF12F21E2E72}"/>
    <cellStyle name="Heading 1 20" xfId="641" xr:uid="{4CEA3CC8-044A-47D6-92F9-CBDBB8EFFA2B}"/>
    <cellStyle name="Heading 1 3" xfId="642" xr:uid="{AFD7CB93-CFF8-40F4-B6FD-8CE7650A77C0}"/>
    <cellStyle name="Heading 1 4" xfId="643" xr:uid="{A19D062D-DB82-4321-899B-D35B8F01A999}"/>
    <cellStyle name="Heading 1 5" xfId="644" xr:uid="{9551144A-22AA-4655-82C7-90F866F09E4B}"/>
    <cellStyle name="Heading 1 6" xfId="645" xr:uid="{D90349FF-79F7-4D46-9532-E3709EB91361}"/>
    <cellStyle name="Heading 1 7" xfId="646" xr:uid="{003E4B98-33C9-412E-97D2-4AF7CD26FB24}"/>
    <cellStyle name="Heading 1 8" xfId="647" xr:uid="{71662495-EF79-4315-B9AE-99B0E8166A33}"/>
    <cellStyle name="Heading 1 9" xfId="648" xr:uid="{99639DF3-1C80-47CE-AAC0-4CF49C6EFBCA}"/>
    <cellStyle name="Heading 2 10" xfId="649" xr:uid="{9522977F-C5EE-4439-8929-D24D9BE3F2F5}"/>
    <cellStyle name="Heading 2 11" xfId="650" xr:uid="{26F204C8-7D82-45E4-941E-1AEDEE72AFB5}"/>
    <cellStyle name="Heading 2 12" xfId="651" xr:uid="{D2531053-0259-45B7-81AB-EF7F65C4D40B}"/>
    <cellStyle name="Heading 2 13" xfId="652" xr:uid="{6490AEE1-618A-4698-9CDF-5581BE43BF78}"/>
    <cellStyle name="Heading 2 14" xfId="653" xr:uid="{D3D09CB6-42B0-4D84-A7B3-2618A2F741FD}"/>
    <cellStyle name="Heading 2 15" xfId="654" xr:uid="{168BCF41-AF4C-41F8-B6F4-A50135C76197}"/>
    <cellStyle name="Heading 2 16" xfId="655" xr:uid="{90E9C40C-9200-43CC-9027-FE1164916FC3}"/>
    <cellStyle name="Heading 2 17" xfId="656" xr:uid="{8FF3874E-6546-41E5-B16B-DCF76B524FDE}"/>
    <cellStyle name="Heading 2 18" xfId="657" xr:uid="{A95E4F75-20AA-46BE-AA08-99945FDF48C1}"/>
    <cellStyle name="Heading 2 19" xfId="658" xr:uid="{005320BE-69E3-4806-B4C7-4BB80B927E38}"/>
    <cellStyle name="Heading 2 2" xfId="659" xr:uid="{FC3A6E79-BEEA-47FD-86D1-8B4253DF10B2}"/>
    <cellStyle name="Heading 2 20" xfId="660" xr:uid="{8066D46A-95AC-4435-95AC-9E02E9B51FEA}"/>
    <cellStyle name="Heading 2 3" xfId="661" xr:uid="{66151183-D333-42EE-B22B-0356E0D33AF6}"/>
    <cellStyle name="Heading 2 4" xfId="662" xr:uid="{282A663B-A02F-4C96-9930-8D2651EFF68A}"/>
    <cellStyle name="Heading 2 5" xfId="663" xr:uid="{ACAF21F8-CC80-4C7B-B752-DA7A5B408475}"/>
    <cellStyle name="Heading 2 6" xfId="664" xr:uid="{F0F82035-AFD3-4233-8BA3-58E07B16A2A7}"/>
    <cellStyle name="Heading 2 7" xfId="665" xr:uid="{4E84CBB4-75B6-47B2-ADE8-33966FE947B4}"/>
    <cellStyle name="Heading 2 8" xfId="666" xr:uid="{4F759355-DB5F-4A3A-9A09-244C7B60549C}"/>
    <cellStyle name="Heading 2 9" xfId="667" xr:uid="{B6165474-4B15-49E0-AE88-38CA20F51E6C}"/>
    <cellStyle name="Heading 3 10" xfId="668" xr:uid="{1794DAA4-54E9-4C0A-B954-7DFE0A761361}"/>
    <cellStyle name="Heading 3 11" xfId="669" xr:uid="{37675671-B844-409D-BDCE-F8A7973D480B}"/>
    <cellStyle name="Heading 3 12" xfId="670" xr:uid="{1D4F9033-432F-4899-B64A-CCAB28882A65}"/>
    <cellStyle name="Heading 3 13" xfId="671" xr:uid="{523E46B1-C077-4E2C-86C1-32DBBA527B91}"/>
    <cellStyle name="Heading 3 14" xfId="672" xr:uid="{2104CA62-474D-4079-B98A-8F5E1A04F710}"/>
    <cellStyle name="Heading 3 15" xfId="673" xr:uid="{D1EE0AAA-3E56-4688-B01A-269765517B4E}"/>
    <cellStyle name="Heading 3 16" xfId="674" xr:uid="{5D803F57-9EC5-4001-9684-BA794541961C}"/>
    <cellStyle name="Heading 3 17" xfId="675" xr:uid="{499C2D37-1BEA-4068-B59A-121D56114598}"/>
    <cellStyle name="Heading 3 18" xfId="676" xr:uid="{73CD864E-89B4-47C5-872F-23614B26B673}"/>
    <cellStyle name="Heading 3 19" xfId="677" xr:uid="{55821CA3-3F6C-4B3C-84E0-5652A7CA4C20}"/>
    <cellStyle name="Heading 3 2" xfId="678" xr:uid="{984C20BC-330E-46DE-A5A2-30EFD1D70B92}"/>
    <cellStyle name="Heading 3 20" xfId="679" xr:uid="{AB7E7A55-820E-43CB-BFB7-AF8404B711F5}"/>
    <cellStyle name="Heading 3 3" xfId="680" xr:uid="{0659B6A9-D68A-4C2E-B27A-3DB37EF0DE93}"/>
    <cellStyle name="Heading 3 4" xfId="681" xr:uid="{A729DA68-30AE-42F7-9520-A983E096BA8F}"/>
    <cellStyle name="Heading 3 5" xfId="682" xr:uid="{4BA44E80-F0A7-45A7-BE1E-187382D679A6}"/>
    <cellStyle name="Heading 3 6" xfId="683" xr:uid="{C8A417E7-D8FA-42F0-A0E6-BF480AA6981B}"/>
    <cellStyle name="Heading 3 7" xfId="684" xr:uid="{23B97EAD-6CA0-425B-82FE-ADC9A8EF696C}"/>
    <cellStyle name="Heading 3 8" xfId="685" xr:uid="{D24A2047-B2A1-4174-AAED-E64AD2F95C7A}"/>
    <cellStyle name="Heading 3 9" xfId="686" xr:uid="{5CC00287-D1DC-42D6-9C53-9434CD55CF8E}"/>
    <cellStyle name="Heading 4 10" xfId="687" xr:uid="{63184BEA-E154-4B69-A7D0-69351263EFD6}"/>
    <cellStyle name="Heading 4 11" xfId="688" xr:uid="{8E270E7A-57BB-468D-931F-EF1A8F0EF3BA}"/>
    <cellStyle name="Heading 4 12" xfId="689" xr:uid="{90E8E310-7E48-4EBC-BF7C-38969335803D}"/>
    <cellStyle name="Heading 4 13" xfId="690" xr:uid="{BE9986E5-88DB-446C-ABFC-69B2390DB5AC}"/>
    <cellStyle name="Heading 4 14" xfId="691" xr:uid="{B3CC82FE-45B4-4A1B-9FA1-23C7F9EF6108}"/>
    <cellStyle name="Heading 4 15" xfId="692" xr:uid="{C6BF71E5-B702-4769-85F1-0F83EB11865E}"/>
    <cellStyle name="Heading 4 16" xfId="693" xr:uid="{5399EFFF-F817-4AF5-8088-F9E62726A7EE}"/>
    <cellStyle name="Heading 4 17" xfId="694" xr:uid="{AC564282-57D7-460D-97A8-134347670D06}"/>
    <cellStyle name="Heading 4 18" xfId="695" xr:uid="{A260A180-BD46-4A95-922D-0A74C3AB78F5}"/>
    <cellStyle name="Heading 4 19" xfId="696" xr:uid="{0F271F67-3617-4AD9-BA42-7BD5417AEC7F}"/>
    <cellStyle name="Heading 4 2" xfId="697" xr:uid="{A4183561-5DEB-49D9-B575-05FAE0D7DE89}"/>
    <cellStyle name="Heading 4 20" xfId="698" xr:uid="{28B114CD-A80E-4149-B2A2-340F19E56811}"/>
    <cellStyle name="Heading 4 3" xfId="699" xr:uid="{28D48913-14DA-4874-B083-AA51241FF209}"/>
    <cellStyle name="Heading 4 4" xfId="700" xr:uid="{B53455BB-426F-40BF-9231-D5181E4C2A86}"/>
    <cellStyle name="Heading 4 5" xfId="701" xr:uid="{669D6051-B0DE-472F-82C5-B6DF6A41F432}"/>
    <cellStyle name="Heading 4 6" xfId="702" xr:uid="{41AA14DC-374F-47B6-A1B9-B77DDCA70C63}"/>
    <cellStyle name="Heading 4 7" xfId="703" xr:uid="{90B454EB-8448-46DE-A363-E401DD31F965}"/>
    <cellStyle name="Heading 4 8" xfId="704" xr:uid="{897B6308-5D4C-4FC2-AF0E-9135430DD6DA}"/>
    <cellStyle name="Heading 4 9" xfId="705" xr:uid="{5A5438F2-E390-4CB1-82CB-93FB3F05CFBD}"/>
    <cellStyle name="Input 10" xfId="707" xr:uid="{DCE0E609-6AFF-48B7-9F41-0FD3A3C1CADD}"/>
    <cellStyle name="Input 11" xfId="708" xr:uid="{F4B878F1-E14D-44F3-8A6D-308E24F9396A}"/>
    <cellStyle name="Input 12" xfId="709" xr:uid="{EB445D92-378D-463F-879C-CDC92D11D25B}"/>
    <cellStyle name="Input 13" xfId="710" xr:uid="{445EA4E9-84BF-4021-BCFA-CAC892FD12CC}"/>
    <cellStyle name="Input 14" xfId="711" xr:uid="{EE9F5FF1-6E7D-4C73-9F60-88C95D53D09D}"/>
    <cellStyle name="Input 15" xfId="712" xr:uid="{49BB9A8C-EE84-481D-899D-A2AA1B27DCAE}"/>
    <cellStyle name="Input 16" xfId="713" xr:uid="{47DB4C4D-F821-4DDD-8228-920391C2AC26}"/>
    <cellStyle name="Input 17" xfId="714" xr:uid="{323D027E-13EF-4DD7-B0B4-D3D3A2B1D4D6}"/>
    <cellStyle name="Input 18" xfId="715" xr:uid="{86822C81-086C-4870-8E46-14DC4FBF56C8}"/>
    <cellStyle name="Input 19" xfId="716" xr:uid="{F21819C2-A026-4C58-8B6F-785961A2FFE9}"/>
    <cellStyle name="Input 2" xfId="717" xr:uid="{C5A2E459-F0CE-4D32-876B-BF20160D5278}"/>
    <cellStyle name="Input 20" xfId="718" xr:uid="{E980BED8-6996-4CD3-8A81-3EA684B0EE7D}"/>
    <cellStyle name="Input 3" xfId="719" xr:uid="{06696948-4629-4AA4-9204-B8A84812DC6D}"/>
    <cellStyle name="Input 4" xfId="720" xr:uid="{921C95B0-C012-4105-BC2B-4743CCE23EA4}"/>
    <cellStyle name="Input 5" xfId="721" xr:uid="{52AC6B07-6A14-4B76-A14F-0B9C90C3159A}"/>
    <cellStyle name="Input 6" xfId="722" xr:uid="{D65710E2-3749-410D-BA6D-3C4AA8BAE1CF}"/>
    <cellStyle name="Input 7" xfId="723" xr:uid="{6D0F7F93-3A9B-495B-8C7A-016AE444B426}"/>
    <cellStyle name="Input 8" xfId="724" xr:uid="{8E9201D2-7E8C-49D8-9746-4BF4F7567DEB}"/>
    <cellStyle name="Input 9" xfId="725" xr:uid="{A8860DB0-394E-4EA6-B568-BB081F227959}"/>
    <cellStyle name="Linked Cell 10" xfId="726" xr:uid="{31353CF5-082D-45A7-B5FD-E951997155C9}"/>
    <cellStyle name="Linked Cell 11" xfId="727" xr:uid="{7898CD71-B2DB-4911-8D2D-88DAFEBF212B}"/>
    <cellStyle name="Linked Cell 12" xfId="728" xr:uid="{B4003B1E-2B36-4271-8906-A831F8E9D396}"/>
    <cellStyle name="Linked Cell 13" xfId="729" xr:uid="{C00CF71F-2763-4F7B-A205-6E676D250DA1}"/>
    <cellStyle name="Linked Cell 14" xfId="730" xr:uid="{97D0A3FF-F676-49E2-8DF2-9F2262D0453E}"/>
    <cellStyle name="Linked Cell 15" xfId="731" xr:uid="{52040560-66E4-490B-8156-6B72FCA237A7}"/>
    <cellStyle name="Linked Cell 16" xfId="732" xr:uid="{3D368A84-BDB6-4AB3-ADCC-2299E942FC93}"/>
    <cellStyle name="Linked Cell 17" xfId="733" xr:uid="{0F090B96-45DF-423B-A410-F12A3CA77907}"/>
    <cellStyle name="Linked Cell 18" xfId="734" xr:uid="{245F6895-82BC-4987-ACA4-B45F81BBB26E}"/>
    <cellStyle name="Linked Cell 19" xfId="735" xr:uid="{9B14C61D-95C1-46FD-BA81-89043A058E05}"/>
    <cellStyle name="Linked Cell 2" xfId="736" xr:uid="{741124D2-58A3-4F1D-8EFF-956419893A00}"/>
    <cellStyle name="Linked Cell 20" xfId="737" xr:uid="{3AE4E2D6-D9DF-42B0-91DF-8A69CD51CB6B}"/>
    <cellStyle name="Linked Cell 3" xfId="738" xr:uid="{47ED0CC7-7415-4973-A086-0D9A9E6580DD}"/>
    <cellStyle name="Linked Cell 4" xfId="739" xr:uid="{6A9E6504-AEEA-4EC4-A754-2620EA280511}"/>
    <cellStyle name="Linked Cell 5" xfId="740" xr:uid="{2EB40B9D-2E48-4FB7-8553-0D07360CC5A8}"/>
    <cellStyle name="Linked Cell 6" xfId="741" xr:uid="{9EAFB06F-7F9C-4820-B2AD-DB320416A697}"/>
    <cellStyle name="Linked Cell 7" xfId="742" xr:uid="{D75653E8-6BC1-41E1-B08B-7BFAA7ECDA18}"/>
    <cellStyle name="Linked Cell 8" xfId="743" xr:uid="{8136017A-5198-4724-AB71-6910891C70C6}"/>
    <cellStyle name="Linked Cell 9" xfId="744" xr:uid="{481FABBA-10A8-4A79-B3F5-B27086D5B5B1}"/>
    <cellStyle name="Neutral 10" xfId="745" xr:uid="{557CE524-B0C2-4419-85A9-1767AFE2D95E}"/>
    <cellStyle name="Neutral 11" xfId="746" xr:uid="{3125B773-FEC7-4623-B4EB-C428788E1F7A}"/>
    <cellStyle name="Neutral 12" xfId="747" xr:uid="{E061488E-A2FB-447A-A348-BAF7EBCA8731}"/>
    <cellStyle name="Neutral 13" xfId="748" xr:uid="{F5A2FA81-02B6-4586-91B1-5AA2F144442D}"/>
    <cellStyle name="Neutral 14" xfId="749" xr:uid="{0922A883-2D6B-4A6B-8F50-6F2160DFF9D0}"/>
    <cellStyle name="Neutral 15" xfId="750" xr:uid="{AB0BF18F-27A7-43E4-A3F8-5D4630EEA2EB}"/>
    <cellStyle name="Neutral 16" xfId="751" xr:uid="{EEB19FEE-2E43-46EB-89D1-14ABAD76F12C}"/>
    <cellStyle name="Neutral 17" xfId="752" xr:uid="{B6B623EA-57FA-46D9-9186-6CD5CD76A777}"/>
    <cellStyle name="Neutral 18" xfId="753" xr:uid="{EABE51BD-E971-4733-926D-3CE925FC2D37}"/>
    <cellStyle name="Neutral 19" xfId="754" xr:uid="{88E9BE7C-F0C5-4B66-A7FF-686CD97DE52E}"/>
    <cellStyle name="Neutral 2" xfId="755" xr:uid="{72D26866-2428-4F72-A2F6-470DE8F8752E}"/>
    <cellStyle name="Neutral 20" xfId="756" xr:uid="{0560D1B7-2DA9-414E-A465-1F6601864B7C}"/>
    <cellStyle name="Neutral 3" xfId="757" xr:uid="{45F10847-C7AB-48DE-8E18-0D283796FE5D}"/>
    <cellStyle name="Neutral 4" xfId="758" xr:uid="{9B9F0F34-0B3A-4E52-854C-136822731350}"/>
    <cellStyle name="Neutral 5" xfId="759" xr:uid="{E0E75455-261B-44B2-870A-A4880F6AC9D1}"/>
    <cellStyle name="Neutral 6" xfId="760" xr:uid="{AF34B7E9-4E25-4A9E-A947-BE67EDB8387C}"/>
    <cellStyle name="Neutral 7" xfId="761" xr:uid="{C0D021B9-DA07-47C5-A297-8E47F4A8F06D}"/>
    <cellStyle name="Neutral 8" xfId="762" xr:uid="{1C27F203-561C-48F6-8F3D-DB1945F487C8}"/>
    <cellStyle name="Neutral 9" xfId="763" xr:uid="{EB8F6ED9-B00D-4902-9600-4C0A0843215C}"/>
    <cellStyle name="Normal 10" xfId="764" xr:uid="{999D3185-FA1B-401F-B005-AF75BAD0CF95}"/>
    <cellStyle name="Normal 10 10" xfId="765" xr:uid="{FAE6E41E-4002-4B78-A6FC-95FBAAA0E8BF}"/>
    <cellStyle name="Normal 10 11" xfId="766" xr:uid="{E8B255C6-5043-4D2E-839C-3B2DED9346DD}"/>
    <cellStyle name="Normal 10 12" xfId="767" xr:uid="{64156879-6799-470C-9DCF-52819FD6FEB9}"/>
    <cellStyle name="Normal 10 13" xfId="768" xr:uid="{828C8108-3FB2-4B32-BA42-24B74D86DC49}"/>
    <cellStyle name="Normal 10 14" xfId="769" xr:uid="{26F54A52-4693-4CC3-846A-B27035528591}"/>
    <cellStyle name="Normal 10 15" xfId="770" xr:uid="{AAA11EC7-CB4E-4720-8C23-638326FEC4E1}"/>
    <cellStyle name="Normal 10 16" xfId="771" xr:uid="{61B0D06B-AD91-4B94-A93D-BADBBD7277C8}"/>
    <cellStyle name="Normal 10 17" xfId="772" xr:uid="{36BB81BA-53E3-4B9C-8B03-E6672EFC1928}"/>
    <cellStyle name="Normal 10 18" xfId="773" xr:uid="{F345F80C-6BD3-403D-956F-8E211F6E810A}"/>
    <cellStyle name="Normal 10 19" xfId="774" xr:uid="{932766C3-8736-45BB-BAD2-119F165B1023}"/>
    <cellStyle name="Normal 10 2" xfId="775" xr:uid="{ADBB116F-280C-4035-9B5C-1190103E99D0}"/>
    <cellStyle name="Normal 10 20" xfId="776" xr:uid="{17A31F1A-EFE4-4D3F-8F59-10927B2A8EC3}"/>
    <cellStyle name="Normal 10 3" xfId="777" xr:uid="{6C397303-6676-4549-BE7C-88093155B3EA}"/>
    <cellStyle name="Normal 10 4" xfId="778" xr:uid="{D3A7BFA1-BC3A-4B35-B705-CF2C3FB1977C}"/>
    <cellStyle name="Normal 10 5" xfId="779" xr:uid="{A627E336-8E88-4F09-8F32-F531AB3645AE}"/>
    <cellStyle name="Normal 10 6" xfId="780" xr:uid="{3D854383-2148-4136-8C75-F2D105FE19B9}"/>
    <cellStyle name="Normal 10 7" xfId="781" xr:uid="{70EE655E-9EAF-46A9-87FA-EA991BA55207}"/>
    <cellStyle name="Normal 10 8" xfId="782" xr:uid="{99F85E18-1C83-4AFD-953D-6390582F8481}"/>
    <cellStyle name="Normal 10 9" xfId="783" xr:uid="{CAF831D8-6151-4125-8060-76E76421C773}"/>
    <cellStyle name="Normal 11" xfId="784" xr:uid="{5F576A68-9118-4FED-A20E-3AE7ADC20918}"/>
    <cellStyle name="Normal 12" xfId="785" xr:uid="{256540FC-4B2C-492C-B0D4-E3E18FFDC91C}"/>
    <cellStyle name="Normal 13" xfId="786" xr:uid="{CD5C7F0B-D3CC-4F7F-8EB3-7434749ECD90}"/>
    <cellStyle name="Normal 14" xfId="787" xr:uid="{ED046C0F-9953-47FE-A355-A93340ACA332}"/>
    <cellStyle name="Normal 15" xfId="3" xr:uid="{BDF3677B-2A43-404D-85EA-98354A603007}"/>
    <cellStyle name="Normal 17" xfId="788" xr:uid="{FCE90B93-7930-44DD-A676-58CBEE21CD40}"/>
    <cellStyle name="Normal 18" xfId="789" xr:uid="{9FDCA4C9-2DE8-44DE-9FCB-B112C135F413}"/>
    <cellStyle name="Normal 19" xfId="790" xr:uid="{761ABF04-5148-4D4B-BE06-E6983F07A4AE}"/>
    <cellStyle name="Normal 2" xfId="791" xr:uid="{36CA2DC7-6149-4971-BE73-BEC3FBA9FF02}"/>
    <cellStyle name="Normal 20" xfId="792" xr:uid="{3C998738-4C84-4C5A-91C2-FF866C63E019}"/>
    <cellStyle name="Normal 3" xfId="793" xr:uid="{13C3A2BF-0C74-4FB9-BA16-3E690C7F0474}"/>
    <cellStyle name="Normal 4" xfId="794" xr:uid="{85A7D15D-654B-4273-84D8-50D3B46C2A3D}"/>
    <cellStyle name="Normal 5" xfId="795" xr:uid="{6A511EED-3F33-47C2-8F60-63834639602F}"/>
    <cellStyle name="Normal 6" xfId="796" xr:uid="{7921753C-F9C8-4C5C-98DD-BD2D54F9C114}"/>
    <cellStyle name="Normal 7" xfId="797" xr:uid="{F85B1C3C-3817-4CD3-B131-56BC67CB94EB}"/>
    <cellStyle name="Normal 8" xfId="798" xr:uid="{B3A0DA26-C0B3-4602-AC4E-1AA037911147}"/>
    <cellStyle name="Normal 8 10" xfId="799" xr:uid="{F87CBCA7-38D8-44E9-A34A-6D42073F6EC7}"/>
    <cellStyle name="Normal 8 11" xfId="800" xr:uid="{D03E4715-2AD5-42A2-886A-F198EB545F7B}"/>
    <cellStyle name="Normal 8 12" xfId="801" xr:uid="{F49D1D19-46F1-446A-B9C8-26228F60C2E7}"/>
    <cellStyle name="Normal 8 13" xfId="802" xr:uid="{E8502BBD-A208-4A70-879B-46D9D7F6939F}"/>
    <cellStyle name="Normal 8 14" xfId="803" xr:uid="{0918501A-8B84-4F5A-B9CB-76053EAE1C95}"/>
    <cellStyle name="Normal 8 15" xfId="804" xr:uid="{5EC652AF-E80D-410B-885E-BB1366B0C72F}"/>
    <cellStyle name="Normal 8 16" xfId="805" xr:uid="{AE9DB18B-25EA-491E-8A04-84BA60DCAFBF}"/>
    <cellStyle name="Normal 8 17" xfId="806" xr:uid="{A2294358-A40D-420F-9A6A-8AA5202FA360}"/>
    <cellStyle name="Normal 8 18" xfId="807" xr:uid="{3DA4F366-1649-491D-BFD7-5AE70C83424C}"/>
    <cellStyle name="Normal 8 19" xfId="808" xr:uid="{87FC4433-4635-4624-8994-B9008F70CA29}"/>
    <cellStyle name="Normal 8 2" xfId="809" xr:uid="{5DC5767A-B580-4CDD-8E9F-C15DED08C022}"/>
    <cellStyle name="Normal 8 20" xfId="810" xr:uid="{17C9CBC4-849A-4EAD-8C52-DEB7161A7E24}"/>
    <cellStyle name="Normal 8 3" xfId="811" xr:uid="{283C2165-19E9-4414-BEC6-E64A62D61786}"/>
    <cellStyle name="Normal 8 4" xfId="812" xr:uid="{BB8C6302-0BF1-49CB-8DD1-AED901793B4A}"/>
    <cellStyle name="Normal 8 5" xfId="813" xr:uid="{7536365B-0C37-4B6D-9F85-92B05E0143DE}"/>
    <cellStyle name="Normal 8 6" xfId="814" xr:uid="{D7F271F5-39DF-4DAA-B1EE-DA584994C032}"/>
    <cellStyle name="Normal 8 7" xfId="815" xr:uid="{923B655E-0208-47A6-A47D-D60B70A29CD6}"/>
    <cellStyle name="Normal 8 8" xfId="816" xr:uid="{FC611404-8DE6-4A7E-B822-2BD03EE23D93}"/>
    <cellStyle name="Normal 8 9" xfId="817" xr:uid="{32853F9A-E0C0-4349-B3BD-4EFC725D9517}"/>
    <cellStyle name="Normal 9" xfId="818" xr:uid="{91D28F06-6185-4CC4-820A-193A2C6F9F49}"/>
    <cellStyle name="Normal_Crestline Strategy Tracker" xfId="819" xr:uid="{EF97DB99-FC5B-4776-96AE-F6A2F44EB234}"/>
    <cellStyle name="Note 10" xfId="820" xr:uid="{9143CAA6-5D98-4E64-9932-A8A3D382DA1B}"/>
    <cellStyle name="Note 11" xfId="821" xr:uid="{A81A7A17-3161-4B78-BA3C-93B22BC7734A}"/>
    <cellStyle name="Note 12" xfId="822" xr:uid="{865EB2AF-4010-4EEA-B7AE-11A40776122C}"/>
    <cellStyle name="Note 13" xfId="823" xr:uid="{A1EA6677-0DCD-458F-B9C5-42349BCA9189}"/>
    <cellStyle name="Note 14" xfId="824" xr:uid="{AEACE207-649B-424D-8818-9949C91B22DA}"/>
    <cellStyle name="Note 15" xfId="825" xr:uid="{D255C20C-37C5-452C-8E78-08E568C273D8}"/>
    <cellStyle name="Note 16" xfId="826" xr:uid="{3A239289-0525-40C8-ADB3-4318798D05D8}"/>
    <cellStyle name="Note 17" xfId="827" xr:uid="{EA7E93B9-91F4-42DC-9F29-0D7306FEE0E5}"/>
    <cellStyle name="Note 18" xfId="828" xr:uid="{B2394D6C-A89E-4FE8-B3FE-0657F1DE40F1}"/>
    <cellStyle name="Note 19" xfId="829" xr:uid="{2FB54065-AA89-4D24-9952-14D4AD2B88BF}"/>
    <cellStyle name="Note 2" xfId="830" xr:uid="{8096A287-8C79-4349-9147-E1EF48B96424}"/>
    <cellStyle name="Note 20" xfId="831" xr:uid="{FFF5DCA0-23A0-43D1-9C6B-51443B1E93A3}"/>
    <cellStyle name="Note 3" xfId="832" xr:uid="{1A2B2810-2612-4CEB-AC52-72CCAE52BB33}"/>
    <cellStyle name="Note 4" xfId="833" xr:uid="{2CDA5FF9-127C-4D27-8CDC-D6394D2CD1B4}"/>
    <cellStyle name="Note 5" xfId="834" xr:uid="{918BF1DF-723E-4A44-BC17-6977C0A4F63A}"/>
    <cellStyle name="Note 6" xfId="835" xr:uid="{B8E60249-6AA9-4639-9586-D5DE9FEDD9AC}"/>
    <cellStyle name="Note 7" xfId="836" xr:uid="{BB626678-35C5-4CF2-BBB8-787CBC6E477F}"/>
    <cellStyle name="Note 8" xfId="837" xr:uid="{DB2FCF00-60AF-4DBC-98CB-BDCA1F4F1B85}"/>
    <cellStyle name="Note 9" xfId="838" xr:uid="{D0FC60BF-40CD-4956-B4C9-8F06B69EA251}"/>
    <cellStyle name="Output 10" xfId="839" xr:uid="{F5D561D8-517F-4DA9-820D-5EBCF62180D2}"/>
    <cellStyle name="Output 11" xfId="840" xr:uid="{DA4D6B88-49CE-414A-A118-6FFA3731BCCB}"/>
    <cellStyle name="Output 12" xfId="841" xr:uid="{B0BAB3EB-DA30-42E8-8C69-012B80017DC7}"/>
    <cellStyle name="Output 13" xfId="842" xr:uid="{458BD580-4E52-47EC-A058-C520F8C4C88A}"/>
    <cellStyle name="Output 14" xfId="843" xr:uid="{8900B800-0E7A-47C8-813B-9571BBDE8E67}"/>
    <cellStyle name="Output 15" xfId="844" xr:uid="{E2A55B40-2BAE-49F2-BEF0-84E6AA966084}"/>
    <cellStyle name="Output 16" xfId="845" xr:uid="{7072E7C8-60BF-4105-A70D-72678EBF315F}"/>
    <cellStyle name="Output 17" xfId="846" xr:uid="{4200AEDD-21EB-4B51-AD0E-D7293D781018}"/>
    <cellStyle name="Output 18" xfId="847" xr:uid="{7DD46BE6-AB5F-46EC-B10C-AD136D82F608}"/>
    <cellStyle name="Output 19" xfId="848" xr:uid="{855AFF23-84CE-4B3B-BC18-9E15BB9A39E8}"/>
    <cellStyle name="Output 2" xfId="849" xr:uid="{4CE0402F-4FD5-49A3-B0D1-103DE9C9B4D0}"/>
    <cellStyle name="Output 20" xfId="850" xr:uid="{2599F857-5058-47F7-B6C5-D195E9168CED}"/>
    <cellStyle name="Output 3" xfId="851" xr:uid="{167E577A-EA11-4C40-906F-561C09DC7F49}"/>
    <cellStyle name="Output 4" xfId="852" xr:uid="{331BD285-B306-40E9-BBF7-9BE03CA34203}"/>
    <cellStyle name="Output 5" xfId="853" xr:uid="{56223D7F-BA3A-418B-802C-727BD567F23A}"/>
    <cellStyle name="Output 6" xfId="854" xr:uid="{42C36447-7900-4182-A64F-322B609B8290}"/>
    <cellStyle name="Output 7" xfId="855" xr:uid="{02DC53CD-D5C4-4192-8B30-A63C21ECF9E6}"/>
    <cellStyle name="Output 8" xfId="856" xr:uid="{0C136560-4289-428E-915F-2120FBAC3C23}"/>
    <cellStyle name="Output 9" xfId="857" xr:uid="{13F5EE8B-1F41-4B9E-8B30-5A4B49D125F8}"/>
    <cellStyle name="Payrol - Style1" xfId="858" xr:uid="{301BC0B5-0CCA-42F7-B532-F130A91DD1E7}"/>
    <cellStyle name="Percent 2" xfId="860" xr:uid="{45E520E2-F205-437A-8F09-49D8E69FF3A4}"/>
    <cellStyle name="Percent 3" xfId="861" xr:uid="{D28F4585-D51E-4C85-A193-248BDF0B9055}"/>
    <cellStyle name="Percent 4" xfId="859" xr:uid="{B8E25F24-21E8-40E2-9B01-B472DB24BE4E}"/>
    <cellStyle name="Style 1023" xfId="862" xr:uid="{9C278AD6-FAA7-44B3-AAEE-6747018407E1}"/>
    <cellStyle name="Style 1023 2" xfId="863" xr:uid="{57464EEE-FF79-4397-AFEC-44F2EF4712FE}"/>
    <cellStyle name="Style 1023 3" xfId="864" xr:uid="{7A9A4F5D-D7F9-437B-ABBC-E671DB0603FD}"/>
    <cellStyle name="Style 1024" xfId="865" xr:uid="{AC13A3F2-0E47-459B-8F4F-14E63C79CB2D}"/>
    <cellStyle name="Style 1024 2" xfId="866" xr:uid="{B452C1ED-61B3-46A6-AF66-BF67E2F6A56B}"/>
    <cellStyle name="Style 1024 3" xfId="867" xr:uid="{F6453B02-D7A5-4369-99EE-7006EB5A14DB}"/>
    <cellStyle name="Style 1025" xfId="868" xr:uid="{5977A092-D86D-4EDC-AEEE-3CA9B39FE2F2}"/>
    <cellStyle name="Style 1025 2" xfId="869" xr:uid="{B778F42D-5188-4A37-9B85-E434FFC644EC}"/>
    <cellStyle name="Style 1025 3" xfId="870" xr:uid="{634EA9D2-56B8-4A4F-90C5-ACD5716C809F}"/>
    <cellStyle name="Style 1026" xfId="871" xr:uid="{48D02324-320F-49F7-AF2B-A8906D51D3CD}"/>
    <cellStyle name="Style 1026 2" xfId="872" xr:uid="{D1C75813-9051-41DF-8068-393C510CA4DE}"/>
    <cellStyle name="Style 1026 3" xfId="873" xr:uid="{ECA283CF-E70B-481A-A6ED-09E02B24468E}"/>
    <cellStyle name="Style 1027" xfId="874" xr:uid="{62FC8934-71E0-4DEA-A1CF-4719AA613DD2}"/>
    <cellStyle name="Style 1027 2" xfId="875" xr:uid="{E535FB07-7283-403D-82AC-C5917E96F012}"/>
    <cellStyle name="Style 1027 3" xfId="876" xr:uid="{6EB14366-A428-4254-88A6-03A4F021F757}"/>
    <cellStyle name="Style 1028" xfId="877" xr:uid="{D65F41C0-AB44-4AEE-82CC-96A83208B122}"/>
    <cellStyle name="Style 1028 2" xfId="878" xr:uid="{CF39AE64-446A-4495-8551-525E2238BDE0}"/>
    <cellStyle name="Style 1028 3" xfId="879" xr:uid="{5E530656-7BCA-486E-B9FF-4C9BDC792677}"/>
    <cellStyle name="Style 1029" xfId="880" xr:uid="{540C1787-6D35-4006-856E-E7311C80304A}"/>
    <cellStyle name="Style 1029 2" xfId="881" xr:uid="{EE15B5A4-AFCB-47AF-908C-1105EEF61DA4}"/>
    <cellStyle name="Style 1029 3" xfId="882" xr:uid="{1E02B266-D989-42AD-945D-FA049C2D4F52}"/>
    <cellStyle name="Style 1030" xfId="883" xr:uid="{3558CA3E-767C-4ABF-9C1D-FABF2F25870F}"/>
    <cellStyle name="Style 1030 2" xfId="884" xr:uid="{A61BA391-3941-41AD-AA67-96A30BF97ADB}"/>
    <cellStyle name="Style 1030 3" xfId="885" xr:uid="{0198E9F3-8F21-436B-AAD5-BDA628BF4C0B}"/>
    <cellStyle name="Style 1031" xfId="886" xr:uid="{E62F1D0F-6B22-48A8-AB22-778FB2DA392F}"/>
    <cellStyle name="Style 1031 2" xfId="887" xr:uid="{1979A6A3-A6F8-4250-A77B-5683C465F12F}"/>
    <cellStyle name="Style 1031 3" xfId="888" xr:uid="{902DC058-A762-4074-95A1-990F997A2B5C}"/>
    <cellStyle name="Style 1032" xfId="889" xr:uid="{0D87C4DE-EDA2-4C90-8BB5-A0923A0AF2FD}"/>
    <cellStyle name="Style 1032 2" xfId="890" xr:uid="{1ADA4121-F4F7-4DEB-A645-CE86275AEE14}"/>
    <cellStyle name="Style 1032 3" xfId="891" xr:uid="{EFAE0D50-EB7C-4B39-9956-C954E9D335F2}"/>
    <cellStyle name="Style 1033" xfId="892" xr:uid="{2075EB31-14D2-4095-857F-1AA6BD03B8CA}"/>
    <cellStyle name="Style 1033 2" xfId="893" xr:uid="{6B947DD1-DA3E-423E-9201-7033CC293F94}"/>
    <cellStyle name="Style 1033 3" xfId="894" xr:uid="{46064B44-63E6-4F1F-82EC-B63B00D9FACE}"/>
    <cellStyle name="Style 1101" xfId="895" xr:uid="{B50E6E93-9A41-4C50-BFE2-1C4262A315E5}"/>
    <cellStyle name="Style 1101 2" xfId="896" xr:uid="{DE0D84F4-1536-4B0A-BAA2-78EEBA600165}"/>
    <cellStyle name="Style 1101 3" xfId="897" xr:uid="{6405EDC5-4298-4446-9DBE-AAD07EA9234F}"/>
    <cellStyle name="Style 1103" xfId="898" xr:uid="{2A7FD177-E9DF-4847-B504-8A64B8FCD95B}"/>
    <cellStyle name="Style 1103 2" xfId="899" xr:uid="{DB75FB20-7A97-4FDF-9B4A-EB570A881147}"/>
    <cellStyle name="Style 1103 3" xfId="900" xr:uid="{095064B1-31C5-46E0-AF09-81795A5CD8FC}"/>
    <cellStyle name="Style 1104" xfId="901" xr:uid="{83582B15-FCF4-4416-97CC-2D6977CCAA00}"/>
    <cellStyle name="Style 1104 2" xfId="902" xr:uid="{D4CCA14D-D5FC-440D-A061-B8BAC26BB444}"/>
    <cellStyle name="Style 1104 3" xfId="903" xr:uid="{04C630DC-1A14-401C-983A-DFD7A115009C}"/>
    <cellStyle name="Style 1105" xfId="904" xr:uid="{1191C530-B436-4D96-813A-058D5001F37C}"/>
    <cellStyle name="Style 1105 2" xfId="905" xr:uid="{17312AAB-4776-4183-8B3B-710DBC4453CA}"/>
    <cellStyle name="Style 1105 3" xfId="906" xr:uid="{2E7850F7-0DB7-46E9-ACE0-3EE354E03C82}"/>
    <cellStyle name="Style 1106" xfId="907" xr:uid="{0CD958EB-B41D-415B-9508-484E7DAD5F70}"/>
    <cellStyle name="Style 1106 2" xfId="908" xr:uid="{2197C68A-74CF-424F-A399-2D61F2BA34B3}"/>
    <cellStyle name="Style 1106 3" xfId="909" xr:uid="{73AE4C82-32AF-4B58-839B-8FAD058D02B7}"/>
    <cellStyle name="Style 1107" xfId="910" xr:uid="{073FA8B9-AC6A-4042-BAF1-65B2A8688166}"/>
    <cellStyle name="Style 1107 2" xfId="911" xr:uid="{FD91B045-4F08-420A-B1DF-883F43893C3A}"/>
    <cellStyle name="Style 1107 3" xfId="912" xr:uid="{6BE25EEE-4751-4668-9A64-278B52CB40AC}"/>
    <cellStyle name="Style 1108" xfId="913" xr:uid="{2451195F-E5CF-41EE-BB88-526EF6110534}"/>
    <cellStyle name="Style 1108 2" xfId="914" xr:uid="{9EDADC8C-A863-4292-8F12-897245F5E388}"/>
    <cellStyle name="Style 1108 3" xfId="915" xr:uid="{DAB80809-EF48-47BB-935D-9B4EDDA43165}"/>
    <cellStyle name="Style 1109" xfId="916" xr:uid="{BAEDBE7C-0D0B-4165-9B3E-29D3B6268434}"/>
    <cellStyle name="Style 1109 2" xfId="917" xr:uid="{CE3C6052-78F8-424E-BE54-FB08E2C04B4B}"/>
    <cellStyle name="Style 1109 3" xfId="918" xr:uid="{75AF768D-5FDF-4CDA-A249-E16B297FC16E}"/>
    <cellStyle name="Style 1110" xfId="919" xr:uid="{F1A127BF-47BC-433C-9407-24EB5985B9DB}"/>
    <cellStyle name="Style 1110 2" xfId="920" xr:uid="{AC3105CA-5165-4158-B4FC-91FCB72CD3FC}"/>
    <cellStyle name="Style 1110 3" xfId="921" xr:uid="{6EBBA313-8326-46F5-AC1E-FA67C88DE962}"/>
    <cellStyle name="Style 1111" xfId="922" xr:uid="{6B77F198-CAD2-4BFD-A7EF-D28C1FBE397E}"/>
    <cellStyle name="Style 1111 2" xfId="923" xr:uid="{6628A884-A4BB-407C-BC9F-C5EFBE3D4D0B}"/>
    <cellStyle name="Style 1111 3" xfId="924" xr:uid="{6FA35FB0-2411-43E8-9343-5132E567F13A}"/>
    <cellStyle name="Style 1112" xfId="925" xr:uid="{7D48185B-1440-4F76-A92D-1E734D37386B}"/>
    <cellStyle name="Style 1112 2" xfId="926" xr:uid="{7D4EB19C-CEEC-42A6-B95B-4AB7AAD99FB0}"/>
    <cellStyle name="Style 1112 3" xfId="927" xr:uid="{AD97E985-DD51-4CCE-AD2A-14D6BAFCDB4E}"/>
    <cellStyle name="Style 1113" xfId="928" xr:uid="{B1FC705A-3C1E-4FE6-8567-FBE583AEA00B}"/>
    <cellStyle name="Style 1113 2" xfId="929" xr:uid="{A8C6A45E-1E5B-49FB-8C97-AC81F50793E4}"/>
    <cellStyle name="Style 1113 3" xfId="930" xr:uid="{C38B4246-0BE7-4FFA-994F-2F994F1FC447}"/>
    <cellStyle name="Style 1114" xfId="931" xr:uid="{3B976125-60C8-45EC-9EF4-E04CFA6E1831}"/>
    <cellStyle name="Style 1114 2" xfId="932" xr:uid="{85EF245E-D2CF-4D9B-8B33-B0155E386A50}"/>
    <cellStyle name="Style 1114 3" xfId="933" xr:uid="{C605BDC6-5D4B-41D5-93A6-5089FD8B58EE}"/>
    <cellStyle name="Style 1115" xfId="934" xr:uid="{BB9016BE-5E99-4BA7-B7A0-751ABD522443}"/>
    <cellStyle name="Style 1115 2" xfId="935" xr:uid="{9407FC9B-1274-46A4-9E68-4FF2E192B066}"/>
    <cellStyle name="Style 1115 3" xfId="936" xr:uid="{345AE1E2-41EF-4FA0-8A04-DE159BBC1704}"/>
    <cellStyle name="Style 1177" xfId="937" xr:uid="{9E1747C7-081E-43B6-92B7-B592BB983839}"/>
    <cellStyle name="Style 1177 2" xfId="938" xr:uid="{FA53F9A5-3FF1-4D98-ABB2-923611A98DB4}"/>
    <cellStyle name="Style 1177 3" xfId="939" xr:uid="{326C0575-252D-4AEE-AD50-36B3A7AFE9D2}"/>
    <cellStyle name="Style 1178" xfId="940" xr:uid="{D9D7605D-EB8D-4D52-BDB0-183057EBF634}"/>
    <cellStyle name="Style 1178 2" xfId="941" xr:uid="{9EEA2E36-4235-4DD2-B453-387BF15B2007}"/>
    <cellStyle name="Style 1178 3" xfId="942" xr:uid="{96F5AB41-3F8C-4570-BC5E-E7AEC1A77A05}"/>
    <cellStyle name="Style 1179" xfId="943" xr:uid="{5BFF6C86-C268-47DC-A8E2-991B8C09FA1B}"/>
    <cellStyle name="Style 1179 2" xfId="944" xr:uid="{6C972388-C644-41CA-8C95-B7362B2500DF}"/>
    <cellStyle name="Style 1179 3" xfId="945" xr:uid="{0FE7E7F9-16A3-41D3-B461-010E02EFC62B}"/>
    <cellStyle name="Style 1180" xfId="946" xr:uid="{60D256F6-5833-446A-A620-087266AA9A67}"/>
    <cellStyle name="Style 1180 2" xfId="947" xr:uid="{BD59A434-44A0-4F37-992D-083A3601659F}"/>
    <cellStyle name="Style 1180 3" xfId="948" xr:uid="{6133BF0F-6DD1-4A54-ADFB-61C58368B345}"/>
    <cellStyle name="Style 1181" xfId="949" xr:uid="{78777CA1-6900-4934-A3D7-B548FD9CA0F8}"/>
    <cellStyle name="Style 1181 2" xfId="950" xr:uid="{18E12890-CFEE-43A1-B4E4-C9B0D2FE2D18}"/>
    <cellStyle name="Style 1181 3" xfId="951" xr:uid="{C68F670A-7209-45FD-8E40-7DA2A25319F0}"/>
    <cellStyle name="Style 1182" xfId="952" xr:uid="{F45D8A15-672D-47FA-A8CC-16455345A537}"/>
    <cellStyle name="Style 1182 2" xfId="953" xr:uid="{F164DD9F-2413-4634-BAAC-810026D3FC23}"/>
    <cellStyle name="Style 1182 3" xfId="954" xr:uid="{C0DBFEE4-D3B5-4F67-B8CD-CBFB597D866B}"/>
    <cellStyle name="Style 1183" xfId="955" xr:uid="{DE92EFB5-2C1B-4268-B8C9-FB280D946D13}"/>
    <cellStyle name="Style 1183 2" xfId="956" xr:uid="{885E3E5F-F94F-4EA5-BAF0-2AA233D6776F}"/>
    <cellStyle name="Style 1183 3" xfId="957" xr:uid="{AB173ABC-7D78-41F5-A96C-D99D303E0A81}"/>
    <cellStyle name="Style 1184" xfId="958" xr:uid="{FAF072CE-A49A-4266-AA86-D5BBED15B904}"/>
    <cellStyle name="Style 1184 2" xfId="959" xr:uid="{628125CA-3F74-42A2-96A1-7EC947E84D9D}"/>
    <cellStyle name="Style 1184 3" xfId="960" xr:uid="{9039B73C-0C78-45EA-B35D-81C154033BFF}"/>
    <cellStyle name="Style 1185" xfId="961" xr:uid="{C01222CD-4DEE-47D6-B428-2E013E0EE92A}"/>
    <cellStyle name="Style 1185 2" xfId="962" xr:uid="{617FD767-746E-4098-ACC4-6E63AA037AF2}"/>
    <cellStyle name="Style 1185 3" xfId="963" xr:uid="{49A49A19-66A5-4F76-A8AD-4B1683BA8907}"/>
    <cellStyle name="Style 1299" xfId="964" xr:uid="{C6EA64BB-0ABE-458C-B9EF-68B0BBEBA6DF}"/>
    <cellStyle name="Style 1299 2" xfId="965" xr:uid="{386BAB75-A2FF-4106-91F0-345D2D53432C}"/>
    <cellStyle name="Style 1299 3" xfId="966" xr:uid="{7D5F907D-D48C-44FB-808F-BB25C153038A}"/>
    <cellStyle name="Style 1331" xfId="967" xr:uid="{1C8F4F63-D68A-4125-94D3-628ED2B8DF01}"/>
    <cellStyle name="Style 1331 2" xfId="968" xr:uid="{07053FD7-EBD2-40ED-9229-937DA314D0E7}"/>
    <cellStyle name="Style 1331 3" xfId="969" xr:uid="{0E5D23E9-BC08-4612-8F07-8CE6490B9FAF}"/>
    <cellStyle name="Style 1332" xfId="970" xr:uid="{B7A143E5-C332-4BA2-B07E-AFF1864203E9}"/>
    <cellStyle name="Style 1332 2" xfId="971" xr:uid="{203F9F46-19CB-4518-A4AD-7DFB0C8655C7}"/>
    <cellStyle name="Style 1332 3" xfId="972" xr:uid="{B4D99D33-384B-4224-A09E-A064ABD33731}"/>
    <cellStyle name="Style 1333" xfId="973" xr:uid="{C6047A42-F883-48E5-982A-24F6FA5646AB}"/>
    <cellStyle name="Style 1333 2" xfId="974" xr:uid="{05C3A4BC-E22B-4F7B-9F73-59F983DBC57A}"/>
    <cellStyle name="Style 1333 3" xfId="975" xr:uid="{6B30761A-F50F-4404-8DF1-42CD2098A7F7}"/>
    <cellStyle name="Style 1334" xfId="976" xr:uid="{9C4E89B3-FE1B-48C7-B1BA-AD674EDC1C4D}"/>
    <cellStyle name="Style 1334 2" xfId="977" xr:uid="{BB6C868B-E799-40E8-8BAF-86BD33B4C1ED}"/>
    <cellStyle name="Style 1334 3" xfId="978" xr:uid="{D9CA7457-A73B-458D-9198-1AB82FEA28C5}"/>
    <cellStyle name="Style 1335" xfId="979" xr:uid="{E821F5F0-E22F-4D6B-B949-63E74F237EA5}"/>
    <cellStyle name="Style 1335 2" xfId="980" xr:uid="{585D67C2-5E7B-4B76-9479-56198D322FF4}"/>
    <cellStyle name="Style 1335 3" xfId="981" xr:uid="{BCF9362C-D81B-4265-B0EE-4360AC86E4DA}"/>
    <cellStyle name="Style 1336" xfId="982" xr:uid="{A477B261-70D5-4927-9617-4ADAEB2F2E1F}"/>
    <cellStyle name="Style 1336 2" xfId="983" xr:uid="{B55FF769-D1ED-4288-8174-0C2C844D78F9}"/>
    <cellStyle name="Style 1336 3" xfId="984" xr:uid="{AFA37B37-8AA3-4821-82C9-78BFA0C8228A}"/>
    <cellStyle name="Style 1337" xfId="985" xr:uid="{A90D318C-17DF-4864-ADFF-7ED8B4A9226E}"/>
    <cellStyle name="Style 1337 2" xfId="986" xr:uid="{D200EA21-111D-4494-B252-47C614514CD4}"/>
    <cellStyle name="Style 1337 3" xfId="987" xr:uid="{FB822DEF-E1F2-4398-99CF-AAFC3884DD1D}"/>
    <cellStyle name="Style 1338" xfId="988" xr:uid="{ADDD6D7B-3D49-47AA-9958-A2982DB72175}"/>
    <cellStyle name="Style 1338 2" xfId="989" xr:uid="{91F943D8-B447-464E-826D-46F72C596B78}"/>
    <cellStyle name="Style 1338 3" xfId="990" xr:uid="{5BB3DFAF-F6F3-427C-943D-D601332AC4C4}"/>
    <cellStyle name="Style 1339" xfId="991" xr:uid="{62758413-21D4-4414-96FE-249D251A39DB}"/>
    <cellStyle name="Style 1339 2" xfId="992" xr:uid="{B94DE87F-2C77-45EE-A962-55DB8E67BB3C}"/>
    <cellStyle name="Style 1339 3" xfId="993" xr:uid="{23FD76F2-9B31-4D73-A29E-61BC60F2CD47}"/>
    <cellStyle name="Style 1376" xfId="994" xr:uid="{5497AAF8-7062-43E7-9BF6-8FD119D18F94}"/>
    <cellStyle name="Style 1376 2" xfId="995" xr:uid="{F38B71DA-5EEF-41B9-8F43-B687B0415B49}"/>
    <cellStyle name="Style 1376 3" xfId="996" xr:uid="{968837A9-97C1-45F1-9A59-E205632E5A0A}"/>
    <cellStyle name="Style 1377" xfId="997" xr:uid="{0E1FAD84-B552-4414-AA9F-2CDCEBE3C7ED}"/>
    <cellStyle name="Style 1377 2" xfId="998" xr:uid="{ED3B51AD-A6E5-4F9E-99F5-50A3CBC41185}"/>
    <cellStyle name="Style 1377 3" xfId="999" xr:uid="{E5BCB3C1-2557-49FF-BD75-012273871796}"/>
    <cellStyle name="Style 1378" xfId="1000" xr:uid="{8F6F96DD-4A67-4DF5-940E-8D555609B88E}"/>
    <cellStyle name="Style 1378 2" xfId="1001" xr:uid="{0BC3DB5D-488C-40E9-B5E2-2DD5D8CD82DE}"/>
    <cellStyle name="Style 1378 3" xfId="1002" xr:uid="{ADBF8286-2623-46F2-AD8C-06815061CF26}"/>
    <cellStyle name="Style 1379" xfId="1003" xr:uid="{A4186EAF-096D-4282-AAC5-121E07E19250}"/>
    <cellStyle name="Style 1379 2" xfId="1004" xr:uid="{357D6B50-166A-4797-AE41-3D3BF3DFEF51}"/>
    <cellStyle name="Style 1379 3" xfId="1005" xr:uid="{D0A70821-09BA-452A-85FA-9DF9CBCA0C13}"/>
    <cellStyle name="Style 1380" xfId="1006" xr:uid="{519BA415-3112-4BEA-A872-227A82FF1532}"/>
    <cellStyle name="Style 1380 2" xfId="1007" xr:uid="{5FC25322-3AC4-47C7-921F-CE1B958FBAA5}"/>
    <cellStyle name="Style 1380 3" xfId="1008" xr:uid="{463607D9-74D6-47A6-A565-B812CEC388FF}"/>
    <cellStyle name="Style 1381" xfId="1009" xr:uid="{FE6883D7-E482-41AB-9E3B-268597694A13}"/>
    <cellStyle name="Style 1381 2" xfId="1010" xr:uid="{A5036DA1-6E21-4868-A325-A58A1BE87558}"/>
    <cellStyle name="Style 1381 3" xfId="1011" xr:uid="{C3204DE6-3984-407F-9F23-FC691D55E8EA}"/>
    <cellStyle name="Style 1382" xfId="1012" xr:uid="{892F15B3-2A78-44E0-A9F0-8FD6224FFD9A}"/>
    <cellStyle name="Style 1382 2" xfId="1013" xr:uid="{9483E2D3-DAED-45CE-BED0-814CD71A44CE}"/>
    <cellStyle name="Style 1382 3" xfId="1014" xr:uid="{DDA2BFE2-9C03-41DE-8D36-FDE5FAD8664E}"/>
    <cellStyle name="Style 1383" xfId="1015" xr:uid="{FBDE12DC-FB7A-4EC5-9CB2-25F46AF81225}"/>
    <cellStyle name="Style 1383 2" xfId="1016" xr:uid="{2D420373-3216-4FC9-976E-E0E752AEE2B0}"/>
    <cellStyle name="Style 1383 3" xfId="1017" xr:uid="{83B731BB-E625-4185-92F6-001D3464972F}"/>
    <cellStyle name="Style 1384" xfId="1018" xr:uid="{8F038B8E-9CF5-4472-94A8-FB5F6ADC493E}"/>
    <cellStyle name="Style 1384 2" xfId="1019" xr:uid="{B80C2E5B-F8FA-40D5-970B-D2FC2A8D65BD}"/>
    <cellStyle name="Style 1384 3" xfId="1020" xr:uid="{431EF7B0-B484-4FF9-B4B5-56EE3B9DB1A3}"/>
    <cellStyle name="Style 1385" xfId="1021" xr:uid="{F102D03D-377C-43D9-B76F-CD9616004E60}"/>
    <cellStyle name="Style 1385 2" xfId="1022" xr:uid="{D28C95F2-3FCA-40F9-8A13-92B97BE72C25}"/>
    <cellStyle name="Style 1385 3" xfId="1023" xr:uid="{C4A59700-737D-4A17-ACBE-A3D4EE44EE8F}"/>
    <cellStyle name="Style 1386" xfId="1024" xr:uid="{F4503047-D94D-423A-93B2-4A94588802AA}"/>
    <cellStyle name="Style 1386 2" xfId="1025" xr:uid="{FE944139-2260-42E5-86FB-122863B3D111}"/>
    <cellStyle name="Style 1386 3" xfId="1026" xr:uid="{92DC0FB5-8FA3-4EDA-AF1D-C71643A7617D}"/>
    <cellStyle name="Style 1556" xfId="1027" xr:uid="{1B3B429E-8D69-448E-B5B4-EBF26BC34BBE}"/>
    <cellStyle name="Style 1556 2" xfId="1028" xr:uid="{D390873E-8722-4747-9E99-9F836BC8B7B8}"/>
    <cellStyle name="Style 1556 3" xfId="1029" xr:uid="{B7F79783-C8CF-4C7C-9E5F-FA24F66C3DC5}"/>
    <cellStyle name="Style 1663" xfId="1030" xr:uid="{F6EA9CDB-6F3E-47DF-9E8F-33E89DF79429}"/>
    <cellStyle name="Style 1663 2" xfId="1031" xr:uid="{0D9575AB-2933-44AB-A3E6-7702597422EA}"/>
    <cellStyle name="Style 1663 3" xfId="1032" xr:uid="{15D684A7-9026-4512-9ED6-C053C05132D7}"/>
    <cellStyle name="Style 1665" xfId="1033" xr:uid="{B19ECF5D-D3C8-452A-8975-B443EEB04A77}"/>
    <cellStyle name="Style 1665 2" xfId="1034" xr:uid="{E43BD4EE-5AC2-46F7-99CE-153142617376}"/>
    <cellStyle name="Style 1665 3" xfId="1035" xr:uid="{370590D2-944C-45DD-81C5-5D10CFEB2663}"/>
    <cellStyle name="Style 1666" xfId="1036" xr:uid="{B0A44173-D105-40E5-868C-BAF7847260CE}"/>
    <cellStyle name="Style 1666 2" xfId="1037" xr:uid="{1236C042-B573-453C-9814-FB1E821A41A5}"/>
    <cellStyle name="Style 1666 3" xfId="1038" xr:uid="{4E440E0A-E7EE-485D-A22C-F7263C96B155}"/>
    <cellStyle name="Style 1667" xfId="1039" xr:uid="{D1AE001A-BF84-4601-B569-CEB36450EC7F}"/>
    <cellStyle name="Style 1667 2" xfId="1040" xr:uid="{CCCEC8BE-B989-43B4-B8C4-DECFE265838A}"/>
    <cellStyle name="Style 1667 3" xfId="1041" xr:uid="{6434A6E7-5FDE-40DC-A232-64BAB46B27B4}"/>
    <cellStyle name="Style 1668" xfId="1042" xr:uid="{1B9966B0-9256-4D29-8918-7C2D00A04368}"/>
    <cellStyle name="Style 1668 2" xfId="1043" xr:uid="{BCDDDFA6-99D2-4E27-AD0A-57C47A8F2495}"/>
    <cellStyle name="Style 1668 3" xfId="1044" xr:uid="{6F169D71-F3B3-4F96-8E83-52E78F46CCCA}"/>
    <cellStyle name="Style 1669" xfId="1045" xr:uid="{120B2901-502F-4DE2-AA64-C4FCFABA283B}"/>
    <cellStyle name="Style 1669 2" xfId="1046" xr:uid="{A316ED69-B5DB-406B-A031-4506AF32FF48}"/>
    <cellStyle name="Style 1669 3" xfId="1047" xr:uid="{728DEF68-2C95-4A5A-A177-A953FDCDF37A}"/>
    <cellStyle name="Style 1670" xfId="1048" xr:uid="{C5A372A5-6DCE-4B92-BBD1-0D34A206D481}"/>
    <cellStyle name="Style 1670 2" xfId="1049" xr:uid="{AB21117D-72F1-4C57-98B0-48F915192FC2}"/>
    <cellStyle name="Style 1670 3" xfId="1050" xr:uid="{8EE894EF-F83C-4257-9871-D87AABD610E4}"/>
    <cellStyle name="Style 1671" xfId="1051" xr:uid="{F906C5A8-C60D-44E1-8400-4DC1E3BEA5C5}"/>
    <cellStyle name="Style 1671 2" xfId="1052" xr:uid="{39664D12-3109-49D4-838D-34A9502F0457}"/>
    <cellStyle name="Style 1671 3" xfId="1053" xr:uid="{052D4ECE-D392-4ABA-B401-092C90B0F033}"/>
    <cellStyle name="Style 1672" xfId="1054" xr:uid="{C19A4546-C048-4D46-BA72-C54413296B30}"/>
    <cellStyle name="Style 1672 2" xfId="1055" xr:uid="{DC5FC689-D99A-435C-B98C-DDD9862A869F}"/>
    <cellStyle name="Style 1672 3" xfId="1056" xr:uid="{B7B30AC6-D94E-49AB-B584-6FA1E68BB64E}"/>
    <cellStyle name="Style 1673" xfId="1057" xr:uid="{D9E29779-CE54-462A-A9CC-842E7781D21C}"/>
    <cellStyle name="Style 1673 2" xfId="1058" xr:uid="{EE2A342F-82C4-46B3-B316-6A0A61F5D399}"/>
    <cellStyle name="Style 1673 3" xfId="1059" xr:uid="{00151553-5FB9-4F4F-ADC9-37D36F19FE7F}"/>
    <cellStyle name="Style 1887" xfId="1060" xr:uid="{E2175127-C02A-4080-B63B-0BCAF676D919}"/>
    <cellStyle name="Style 1887 2" xfId="1061" xr:uid="{EBB90CED-E19F-448A-84E2-E0C11DF3EBBA}"/>
    <cellStyle name="Style 1887 3" xfId="1062" xr:uid="{09C7C4ED-2785-4D31-B54F-8BC2CD83E660}"/>
    <cellStyle name="Style 1888" xfId="1063" xr:uid="{648ACBD5-1ADC-46F2-8EA2-A5F306C5AAA8}"/>
    <cellStyle name="Style 1888 2" xfId="1064" xr:uid="{1A4123E3-D5A2-4E97-B66A-F6EFED3D08BE}"/>
    <cellStyle name="Style 1888 3" xfId="1065" xr:uid="{4AB6327A-9947-46CC-9012-3CE6FFDE5B26}"/>
    <cellStyle name="Style 1889" xfId="1066" xr:uid="{0BADF579-2C41-448D-9BA7-106A49EF4BEE}"/>
    <cellStyle name="Style 1889 2" xfId="1067" xr:uid="{08E4522B-3BA7-445D-8DE8-3E84F63975FB}"/>
    <cellStyle name="Style 1889 3" xfId="1068" xr:uid="{D2FFA2F2-CA1E-4F3A-8255-4AB1D905362C}"/>
    <cellStyle name="Style 1890" xfId="1069" xr:uid="{5E013DB0-44E4-479A-9BB3-BD3A918A691C}"/>
    <cellStyle name="Style 1890 2" xfId="1070" xr:uid="{7A32EA72-0EB0-4FE9-BAD4-2E242919FC7E}"/>
    <cellStyle name="Style 1890 3" xfId="1071" xr:uid="{11D1A87E-87D1-453C-BA87-1310EC4BD16F}"/>
    <cellStyle name="Style 1891" xfId="1072" xr:uid="{0C632FE5-E7B6-4DB6-94BE-35DC7246990D}"/>
    <cellStyle name="Style 1891 2" xfId="1073" xr:uid="{23892D57-34DE-4CD9-9020-075976DBC5FC}"/>
    <cellStyle name="Style 1891 3" xfId="1074" xr:uid="{D8BCEDC9-E853-4507-B120-EBA642F36EE6}"/>
    <cellStyle name="Style 1892" xfId="1075" xr:uid="{A70DFA95-F22D-480C-8BCC-2B9DE80ED05E}"/>
    <cellStyle name="Style 1892 2" xfId="1076" xr:uid="{71B3386E-F8E3-4BF6-A145-4AC4C462EC39}"/>
    <cellStyle name="Style 1892 3" xfId="1077" xr:uid="{42B8424C-8347-4798-9E88-9C87C2CC2C40}"/>
    <cellStyle name="Style 1893" xfId="1078" xr:uid="{4BC7A9EC-4BE9-4885-9722-4C6595458709}"/>
    <cellStyle name="Style 1893 2" xfId="1079" xr:uid="{768AFB59-E0B9-4B58-8543-04206783209A}"/>
    <cellStyle name="Style 1893 3" xfId="1080" xr:uid="{5BEDFC73-4433-4F58-9B52-0E9AD857BC63}"/>
    <cellStyle name="Style 1894" xfId="1081" xr:uid="{6E51401B-DFA7-4985-AEBD-CCCF7D433BD6}"/>
    <cellStyle name="Style 1894 2" xfId="1082" xr:uid="{8225226B-FD30-4BF6-8A3C-1B9F76BEBB27}"/>
    <cellStyle name="Style 1894 3" xfId="1083" xr:uid="{5EA5A2DA-97F8-4B85-A553-AC711C9FCB73}"/>
    <cellStyle name="Style 1895" xfId="1084" xr:uid="{30E18132-C0BD-43A2-841D-29ECBC567A06}"/>
    <cellStyle name="Style 1895 2" xfId="1085" xr:uid="{C49475C9-09F5-4B6B-88EA-13BFC5247DB1}"/>
    <cellStyle name="Style 1895 3" xfId="1086" xr:uid="{A9EE1CE9-98B9-4A1F-B7EE-BC2F9384AA7F}"/>
    <cellStyle name="Style 297" xfId="1087" xr:uid="{EFF5A918-3EA2-4746-B5C0-0DA305AA81F5}"/>
    <cellStyle name="Style 297 2" xfId="1088" xr:uid="{D21EA53B-D489-450D-8AF7-EBEAA7934C5E}"/>
    <cellStyle name="Style 297 3" xfId="1089" xr:uid="{5CB725E9-91B0-455E-B794-5BC1EAA22D71}"/>
    <cellStyle name="Style 300" xfId="1090" xr:uid="{FB916FA5-5281-4802-89C8-E6164C56847B}"/>
    <cellStyle name="Style 300 2" xfId="1091" xr:uid="{7231466C-A501-4255-8E36-C26235FC325B}"/>
    <cellStyle name="Style 300 3" xfId="1092" xr:uid="{4D0D6D46-33D3-4A60-9A04-2129891ABE6E}"/>
    <cellStyle name="Style 528" xfId="1093" xr:uid="{380F7C2E-1996-4B1B-BF95-419ADE738EE2}"/>
    <cellStyle name="Style 528 2" xfId="1094" xr:uid="{C77806BB-5DB9-4580-B60D-E5B6D0C2321D}"/>
    <cellStyle name="Style 528 3" xfId="1095" xr:uid="{7325245B-75C4-42ED-AB44-EC932EEB3F02}"/>
    <cellStyle name="Style 561" xfId="1096" xr:uid="{28E7C0A0-B63A-4D17-B395-DCE0B3B635BC}"/>
    <cellStyle name="Style 561 2" xfId="1097" xr:uid="{62A73CC3-78C1-462F-9DD7-DCEE7A00949E}"/>
    <cellStyle name="Style 561 3" xfId="1098" xr:uid="{20A877E0-DD85-4DA2-8D62-71197D8CFA62}"/>
    <cellStyle name="Style 669" xfId="1099" xr:uid="{6229FD66-EDA3-46A7-A601-248877C7E790}"/>
    <cellStyle name="Style 669 2" xfId="1100" xr:uid="{5657B4EF-58A5-432D-A7C1-D5DF74A9D5D6}"/>
    <cellStyle name="Style 669 3" xfId="1101" xr:uid="{1EE77521-45F3-4C9B-A47C-ED9D640EC9E0}"/>
    <cellStyle name="Style 670" xfId="1102" xr:uid="{366ED026-5C6D-4430-9BD2-53DFEECBE133}"/>
    <cellStyle name="Style 670 2" xfId="1103" xr:uid="{65535C4C-B520-4312-A91E-6AE9F25A3174}"/>
    <cellStyle name="Style 670 3" xfId="1104" xr:uid="{314E1F71-2440-4A3F-B4DF-772BBDFA3F76}"/>
    <cellStyle name="Style 671" xfId="1105" xr:uid="{41721CFD-3A34-4DA3-8401-11837B78985F}"/>
    <cellStyle name="Style 671 2" xfId="1106" xr:uid="{E14DD4C2-E5F3-4EF3-8220-E5CBE679BE32}"/>
    <cellStyle name="Style 671 3" xfId="1107" xr:uid="{7C252AA9-254A-48BA-A3D3-8944221BE706}"/>
    <cellStyle name="Style 672" xfId="1108" xr:uid="{814F752E-2346-402F-BA9A-72E88030D6B3}"/>
    <cellStyle name="Style 672 2" xfId="1109" xr:uid="{31503703-72D8-4581-ABF0-301B4AD3DF45}"/>
    <cellStyle name="Style 672 3" xfId="1110" xr:uid="{58E10E03-7347-4588-90DC-070548E07B85}"/>
    <cellStyle name="Style 673" xfId="1111" xr:uid="{9D0EBEE4-CB87-4312-8D9F-8F6E71911048}"/>
    <cellStyle name="Style 673 2" xfId="1112" xr:uid="{C9EFFEE4-05B1-4297-A645-BE5881090031}"/>
    <cellStyle name="Style 673 3" xfId="1113" xr:uid="{F0F029D7-83D6-4E4F-9231-6098C85A640E}"/>
    <cellStyle name="Style 674" xfId="1114" xr:uid="{15E593C8-A750-42B1-9195-CD536B05D327}"/>
    <cellStyle name="Style 674 2" xfId="1115" xr:uid="{23189AB1-E220-423B-A8A8-F37E9DBF82BA}"/>
    <cellStyle name="Style 674 3" xfId="1116" xr:uid="{7799A01A-5940-43EC-B7F9-3867BDB9C8B6}"/>
    <cellStyle name="Style 675" xfId="1117" xr:uid="{22302303-660A-4224-9D0F-7A8176C3D835}"/>
    <cellStyle name="Style 675 2" xfId="1118" xr:uid="{B0A1187A-3CC1-451D-B31E-9FEFEB4AB1B8}"/>
    <cellStyle name="Style 675 3" xfId="1119" xr:uid="{0B76B930-A59E-4D51-A466-15BBBB78E8C1}"/>
    <cellStyle name="Style 676" xfId="1120" xr:uid="{AD162C50-F1A5-404F-80E1-56239C3B8C14}"/>
    <cellStyle name="Style 676 2" xfId="1121" xr:uid="{E4436ACC-ED0C-464F-A7B5-2EA57EE3629F}"/>
    <cellStyle name="Style 676 3" xfId="1122" xr:uid="{2EA16653-86AE-4ABA-A378-3F9E1223AEE1}"/>
    <cellStyle name="Style 707" xfId="1123" xr:uid="{DD8E2813-4791-401A-B675-5332BBA528B1}"/>
    <cellStyle name="Style 707 2" xfId="1124" xr:uid="{5983A460-769A-4B9C-B3F8-2A99B7563BA9}"/>
    <cellStyle name="Style 707 3" xfId="1125" xr:uid="{047A10C3-7B32-4D2B-88B5-BBBA6E50DC5C}"/>
    <cellStyle name="Style 708" xfId="1126" xr:uid="{B902CCD1-A621-402A-80DC-4E64E6301B76}"/>
    <cellStyle name="Style 708 2" xfId="1127" xr:uid="{2B5776AA-CFFD-4069-BB27-5741ED6A5545}"/>
    <cellStyle name="Style 708 3" xfId="1128" xr:uid="{8B70816D-A939-4F3F-933F-51BAFC2B9723}"/>
    <cellStyle name="Style 709" xfId="1129" xr:uid="{EB655A9F-3975-4D91-9547-2758ADA99C99}"/>
    <cellStyle name="Style 709 2" xfId="1130" xr:uid="{BEFCA955-6CE4-4031-8741-15C93FEEC73D}"/>
    <cellStyle name="Style 709 3" xfId="1131" xr:uid="{576E6835-8FD5-4262-84F3-ED18C03330D5}"/>
    <cellStyle name="Style 710" xfId="1132" xr:uid="{AC7015CC-85F3-4609-983E-C62A6C34EC43}"/>
    <cellStyle name="Style 710 2" xfId="1133" xr:uid="{50B022F0-2B19-4BCF-B827-9D2CF1CF0353}"/>
    <cellStyle name="Style 710 3" xfId="1134" xr:uid="{62454B83-5409-49D9-8BD9-9EF3DC3E2293}"/>
    <cellStyle name="Style 711" xfId="1135" xr:uid="{2282EFFB-936F-4A2A-BAF3-EA3EF9D89689}"/>
    <cellStyle name="Style 711 2" xfId="1136" xr:uid="{2977E2B5-BF1C-4BCC-A9A6-6565B5D25433}"/>
    <cellStyle name="Style 711 3" xfId="1137" xr:uid="{1AC7CF76-CE5A-4417-83AE-E861D9CA6874}"/>
    <cellStyle name="Style 712" xfId="1138" xr:uid="{0D200928-AB50-4D9A-A6D5-2D4CDCC5865E}"/>
    <cellStyle name="Style 712 2" xfId="1139" xr:uid="{467F0D6C-AF99-4544-A396-AA42083585C3}"/>
    <cellStyle name="Style 712 3" xfId="1140" xr:uid="{1590B86D-F8E2-4402-B747-89FD621E3014}"/>
    <cellStyle name="Style 713" xfId="1141" xr:uid="{8F9AF6A0-0E01-4949-A28A-D54C434AB846}"/>
    <cellStyle name="Style 713 2" xfId="1142" xr:uid="{57406DDB-93D8-4555-B2F8-0C2608DBDFA2}"/>
    <cellStyle name="Style 713 3" xfId="1143" xr:uid="{B6D7B164-B821-43D2-8B82-16E0A5D7C550}"/>
    <cellStyle name="Style 714" xfId="1144" xr:uid="{01667336-FF12-4E01-BED4-92ECFBC3E4E2}"/>
    <cellStyle name="Style 714 2" xfId="1145" xr:uid="{2C4F5DB3-CA7B-4555-9280-C3756EA05377}"/>
    <cellStyle name="Style 714 3" xfId="1146" xr:uid="{DDD6D637-9575-4602-9C98-574733AB2189}"/>
    <cellStyle name="Style 723" xfId="1147" xr:uid="{45A0AA46-DDDB-46D9-97DF-A476114818FE}"/>
    <cellStyle name="Style 723 2" xfId="1148" xr:uid="{52E7BA84-83CE-4609-9407-6AAFC82603C1}"/>
    <cellStyle name="Style 723 3" xfId="1149" xr:uid="{25839650-BB00-4006-A934-878D0ED9FEC6}"/>
    <cellStyle name="Style 740" xfId="1150" xr:uid="{B11B652D-A0DA-4EEB-B9CF-F85C0FEA40D8}"/>
    <cellStyle name="Style 740 2" xfId="1151" xr:uid="{289EF747-66E1-4623-A623-B09228E0D1A2}"/>
    <cellStyle name="Style 740 3" xfId="1152" xr:uid="{60D0B0E5-91DF-4275-BABF-CF76F653A899}"/>
    <cellStyle name="Style 741" xfId="1153" xr:uid="{D44148EF-C40A-4288-8BE2-4A35D661EC9E}"/>
    <cellStyle name="Style 741 2" xfId="1154" xr:uid="{FB07CAAE-F9AA-4352-AB1C-DC83CD8557E8}"/>
    <cellStyle name="Style 741 3" xfId="1155" xr:uid="{A4AB3D82-B569-4AB4-A0C7-5C52E14A3FC0}"/>
    <cellStyle name="Style 742" xfId="1156" xr:uid="{45438628-4D26-43D0-9121-D88C2B7721DE}"/>
    <cellStyle name="Style 742 2" xfId="1157" xr:uid="{63C58302-35A1-454E-BA13-020980B2ADC3}"/>
    <cellStyle name="Style 742 3" xfId="1158" xr:uid="{A41D4430-2DFB-4AA7-BAB7-F1A1F8FD2B15}"/>
    <cellStyle name="Style 743" xfId="1159" xr:uid="{75EB200A-0406-4BA1-BF72-B358A03806DF}"/>
    <cellStyle name="Style 743 2" xfId="1160" xr:uid="{6D86E173-76BE-4FD4-A16A-59C5DD7BF508}"/>
    <cellStyle name="Style 743 3" xfId="1161" xr:uid="{EF3E282E-DB2C-4E94-95A5-7B06F5B551AA}"/>
    <cellStyle name="Style 744" xfId="1162" xr:uid="{9CC342A1-833C-4A89-A8F7-DE4A5C8939FD}"/>
    <cellStyle name="Style 744 2" xfId="1163" xr:uid="{302D78C0-8AC7-4603-9B5D-D287A60AB496}"/>
    <cellStyle name="Style 744 3" xfId="1164" xr:uid="{F1E5C8B5-54BC-4FD0-A5D0-527037270B8E}"/>
    <cellStyle name="Style 745" xfId="1165" xr:uid="{C89EEDBA-1BF4-47BA-A671-7B7A5D4D8756}"/>
    <cellStyle name="Style 745 2" xfId="1166" xr:uid="{744EA972-0F82-49E6-927F-044FC6977627}"/>
    <cellStyle name="Style 745 3" xfId="1167" xr:uid="{A9BF0099-9705-4FA7-9F59-01A39C7F152D}"/>
    <cellStyle name="Style 746" xfId="1168" xr:uid="{962F2501-0D7E-4D41-B67A-64AC923E95DA}"/>
    <cellStyle name="Style 746 2" xfId="1169" xr:uid="{BCE7D293-6508-46B9-B6C4-0FB45816A9A2}"/>
    <cellStyle name="Style 746 3" xfId="1170" xr:uid="{6E8810A6-ADE5-487E-ABA4-CE68020DA1C2}"/>
    <cellStyle name="Style 747" xfId="1171" xr:uid="{2529D9CD-2E66-4610-8648-C5F0E0D7B7D9}"/>
    <cellStyle name="Style 747 2" xfId="1172" xr:uid="{B79BCD18-7DBE-4B13-9CB9-9956CB6A8F71}"/>
    <cellStyle name="Style 747 3" xfId="1173" xr:uid="{F5C41310-5A28-4709-BF2B-18720A740A9A}"/>
    <cellStyle name="Style 839" xfId="1174" xr:uid="{8600AE56-B67F-403A-8742-C430EE998329}"/>
    <cellStyle name="Style 839 2" xfId="1175" xr:uid="{17BD7A1F-180C-446C-89C4-0866DDC65FC9}"/>
    <cellStyle name="Style 839 3" xfId="1176" xr:uid="{20838F82-FEBE-4B9F-93F7-F265E77A50A3}"/>
    <cellStyle name="Style 843" xfId="1177" xr:uid="{D081BE50-4C75-467C-B678-52BFEC19951D}"/>
    <cellStyle name="Style 843 2" xfId="1178" xr:uid="{1F5D2C8D-F1E6-4313-9AAD-1170F6E3250B}"/>
    <cellStyle name="Style 843 3" xfId="1179" xr:uid="{6B71A25D-2FF2-4CA7-8EFA-204354F11D8E}"/>
    <cellStyle name="Style 845" xfId="1180" xr:uid="{0F898824-FD9A-44A1-9D9D-849D46198194}"/>
    <cellStyle name="Style 845 2" xfId="1181" xr:uid="{D6F93670-A854-4B50-BEDE-CE64F7A31998}"/>
    <cellStyle name="Style 845 3" xfId="1182" xr:uid="{91677BE0-32F6-4B47-8C66-84680F48871B}"/>
    <cellStyle name="Style 868" xfId="1183" xr:uid="{7B89B3D4-0CBA-4ADF-B650-7E3A7BAF1A40}"/>
    <cellStyle name="Style 868 2" xfId="1184" xr:uid="{C1DD8CBF-D107-4996-89A9-725B18450197}"/>
    <cellStyle name="Style 868 3" xfId="1185" xr:uid="{78169607-AF44-438E-9A57-857D66CF5281}"/>
    <cellStyle name="Style 902" xfId="1186" xr:uid="{1301C86B-8286-40AA-9D88-CE5F7D2CD109}"/>
    <cellStyle name="Style 902 2" xfId="1187" xr:uid="{582E232D-D8D3-471B-A9AA-45E682441CAF}"/>
    <cellStyle name="Style 902 3" xfId="1188" xr:uid="{4D36C3B1-C2ED-47E8-9E1F-D4FCEC68961D}"/>
    <cellStyle name="Style 903" xfId="1189" xr:uid="{AFC1FAAC-934B-4B29-BED8-26651FEEDE8F}"/>
    <cellStyle name="Style 903 2" xfId="1190" xr:uid="{9BA62CD6-DC29-4426-98FC-ED8A68AA72CD}"/>
    <cellStyle name="Style 903 3" xfId="1191" xr:uid="{EB383E62-59C9-4F3D-A5AA-3C8DDFDB783F}"/>
    <cellStyle name="Style 904" xfId="1192" xr:uid="{99E7CC79-38ED-4BD5-8240-A60737E09D5C}"/>
    <cellStyle name="Style 904 2" xfId="1193" xr:uid="{CF84F59D-FBBF-43DB-969E-E06824A76B8D}"/>
    <cellStyle name="Style 904 3" xfId="1194" xr:uid="{70B86C14-D564-470A-83C1-2B079BE3E3C1}"/>
    <cellStyle name="Style 905" xfId="1195" xr:uid="{8F6B0E89-F4CA-42A2-A0F6-FF873FB7EBCB}"/>
    <cellStyle name="Style 905 2" xfId="1196" xr:uid="{7A08B2ED-5C06-4107-91FB-B5AC54316871}"/>
    <cellStyle name="Style 905 3" xfId="1197" xr:uid="{B2DB59E3-1615-4BE8-AD69-A4063481F540}"/>
    <cellStyle name="Style 910" xfId="1198" xr:uid="{42C03448-37F6-4D83-9E41-7B83118CE80D}"/>
    <cellStyle name="Style 910 2" xfId="1199" xr:uid="{98CD76E7-C740-456C-85C5-4E06DC06D3BD}"/>
    <cellStyle name="Style 910 3" xfId="1200" xr:uid="{177F899E-A87E-4EDF-A95C-D044B8E40744}"/>
    <cellStyle name="Style 911" xfId="1201" xr:uid="{249C8F9B-4B79-47C9-AFD0-98A992795A6B}"/>
    <cellStyle name="Style 911 2" xfId="1202" xr:uid="{551A192F-F1FD-450D-A3E2-C2B9B0338F81}"/>
    <cellStyle name="Style 911 3" xfId="1203" xr:uid="{7E007D47-AA62-4800-A0F9-BA9FE032477D}"/>
    <cellStyle name="Style 912" xfId="1204" xr:uid="{9547F170-74F1-4795-BA9A-85AC2F1D2A05}"/>
    <cellStyle name="Style 912 2" xfId="1205" xr:uid="{4D61BF5F-205B-4D3E-B624-AB9644D426F3}"/>
    <cellStyle name="Style 912 3" xfId="1206" xr:uid="{596131C1-29AD-4223-9175-56D03AB89FFF}"/>
    <cellStyle name="Style 913" xfId="1207" xr:uid="{9D9EE5CF-71E3-429C-88F3-693625C9A514}"/>
    <cellStyle name="Style 913 2" xfId="1208" xr:uid="{5D615C48-B6E1-425B-BDC6-128F27B826BD}"/>
    <cellStyle name="Style 913 3" xfId="1209" xr:uid="{54415D01-E391-47AC-8D58-2BE0FD1BCD11}"/>
    <cellStyle name="Style 918" xfId="1210" xr:uid="{C0AE9A14-9847-4D7D-A2B1-36781B54435C}"/>
    <cellStyle name="Style 918 2" xfId="1211" xr:uid="{FF2157C4-E119-4455-94D6-4411B6C6FBF7}"/>
    <cellStyle name="Style 918 3" xfId="1212" xr:uid="{592FD848-773E-41C8-9964-9B21A2790F2D}"/>
    <cellStyle name="Style 919" xfId="1213" xr:uid="{AC5AF4D4-5550-47C3-86AB-22B3A2CA48B3}"/>
    <cellStyle name="Style 919 2" xfId="1214" xr:uid="{56E0B167-F472-4844-B06C-B2936999C1C0}"/>
    <cellStyle name="Style 919 3" xfId="1215" xr:uid="{2FA5CE67-3958-4D4D-9382-D1CF42FFB89F}"/>
    <cellStyle name="Style 920" xfId="1216" xr:uid="{6D914935-43C5-492C-A1EB-3C79FE872822}"/>
    <cellStyle name="Style 920 2" xfId="1217" xr:uid="{3173A775-71BB-4970-878B-47D83CA90949}"/>
    <cellStyle name="Style 920 3" xfId="1218" xr:uid="{FAC2EFD5-CEAC-40B7-BA2A-165C3DEAB413}"/>
    <cellStyle name="Style 921" xfId="1219" xr:uid="{EE72B724-241C-4033-98F1-0A9EFEFF268E}"/>
    <cellStyle name="Style 921 2" xfId="1220" xr:uid="{621C7602-9AEA-40E1-9861-5CDB35BEF1FA}"/>
    <cellStyle name="Style 921 3" xfId="1221" xr:uid="{14DF5BCC-07FC-42F6-A979-7BEC1934F4BB}"/>
    <cellStyle name="Style 926" xfId="1222" xr:uid="{A803E9E0-FC27-42A4-9CD1-CA5328A115E8}"/>
    <cellStyle name="Style 926 2" xfId="1223" xr:uid="{59C76AC0-96B1-4F38-A60A-C6730CA109BF}"/>
    <cellStyle name="Style 926 3" xfId="1224" xr:uid="{7B42EC37-7913-41C3-8DA6-090411477D1E}"/>
    <cellStyle name="Style 927" xfId="1225" xr:uid="{2ECBD35E-DECF-4630-A9F3-77D14E4541C5}"/>
    <cellStyle name="Style 927 2" xfId="1226" xr:uid="{748CF6FE-4E56-4F2A-AAE4-9D9037A04A63}"/>
    <cellStyle name="Style 927 3" xfId="1227" xr:uid="{6B143497-DEF6-4266-88DE-DE2469A663FB}"/>
    <cellStyle name="Style 928" xfId="1228" xr:uid="{77CED1F6-EB1E-405F-B630-258446E5C7C2}"/>
    <cellStyle name="Style 928 2" xfId="1229" xr:uid="{6C673E78-6D67-4D56-BE07-33F120912471}"/>
    <cellStyle name="Style 928 3" xfId="1230" xr:uid="{C798218E-5A91-4CA7-83E0-9F48DAA06F8E}"/>
    <cellStyle name="Style 929" xfId="1231" xr:uid="{9C71DD54-A08F-47BA-B758-D7017D5032AC}"/>
    <cellStyle name="Style 929 2" xfId="1232" xr:uid="{60CFE09E-5ED5-4D06-9F35-4CADEE1A1C32}"/>
    <cellStyle name="Style 929 3" xfId="1233" xr:uid="{C7ED0A4F-496C-452B-A4BB-15CC45F660D8}"/>
    <cellStyle name="Style 934" xfId="1234" xr:uid="{7A6003E5-2815-48C0-AA8E-33D9317C15E1}"/>
    <cellStyle name="Style 934 2" xfId="1235" xr:uid="{CAB464C7-6DAE-4D8F-98FA-6D596F4E4AB9}"/>
    <cellStyle name="Style 934 3" xfId="1236" xr:uid="{24DF87C5-B894-4258-893B-9F5F3AE27BF1}"/>
    <cellStyle name="Style 935" xfId="1237" xr:uid="{CADFD98B-9865-4920-B064-C44BAC0A5A5C}"/>
    <cellStyle name="Style 935 2" xfId="1238" xr:uid="{5045BF1B-A678-4CBC-8CB4-17CE3E69AFD7}"/>
    <cellStyle name="Style 935 3" xfId="1239" xr:uid="{C96DE2A6-CEDC-4A52-802D-359C2102D948}"/>
    <cellStyle name="Style 936" xfId="1240" xr:uid="{1A66271A-CF2F-4C5F-94CD-D8081AA31C6D}"/>
    <cellStyle name="Style 936 2" xfId="1241" xr:uid="{A127AD15-9023-42C7-9340-B2A281E1D7BC}"/>
    <cellStyle name="Style 936 3" xfId="1242" xr:uid="{4339EDD1-29D8-4E07-AB40-516BE7417624}"/>
    <cellStyle name="Style 937" xfId="1243" xr:uid="{493FBD3C-47EE-4EED-A52F-AEBF5FE20B27}"/>
    <cellStyle name="Style 937 2" xfId="1244" xr:uid="{4EFC12E2-0980-429A-B552-1A1B45C8A533}"/>
    <cellStyle name="Style 937 3" xfId="1245" xr:uid="{9CF6249A-1550-44E1-B22D-49B43905C7B4}"/>
    <cellStyle name="Style 942" xfId="1246" xr:uid="{4872DA06-4F04-4B35-B4F4-92B2C00C0FBD}"/>
    <cellStyle name="Style 942 2" xfId="1247" xr:uid="{63C57591-884A-467C-AF2E-1989DFCB1974}"/>
    <cellStyle name="Style 942 3" xfId="1248" xr:uid="{BB14A112-DCAB-424E-AC70-65051ADFE075}"/>
    <cellStyle name="Style 943" xfId="1249" xr:uid="{58704E8C-010F-4546-A196-70D4EAE2E8D6}"/>
    <cellStyle name="Style 943 2" xfId="1250" xr:uid="{A33BACDC-4C39-4AE7-ACA3-1ED5A9E88E3E}"/>
    <cellStyle name="Style 943 3" xfId="1251" xr:uid="{2E0535CF-A55C-4021-A2F6-FED6140AC47D}"/>
    <cellStyle name="Style 944" xfId="1252" xr:uid="{B846F94B-5E43-4290-8F60-F9C505F7C994}"/>
    <cellStyle name="Style 944 2" xfId="1253" xr:uid="{F4BC1CB7-7DE9-4341-8634-004E31E4C2FC}"/>
    <cellStyle name="Style 944 3" xfId="1254" xr:uid="{411A8A3C-CF2F-4761-AED6-F816C658A291}"/>
    <cellStyle name="Style 945" xfId="1255" xr:uid="{DA624066-F6D7-432E-8C9C-F78336F20CBC}"/>
    <cellStyle name="Style 945 2" xfId="1256" xr:uid="{259E52CF-A039-44B5-9724-E297438FA3AA}"/>
    <cellStyle name="Style 945 3" xfId="1257" xr:uid="{9A058DCA-D26F-4B6F-A395-7A5A9167A103}"/>
    <cellStyle name="Style 950" xfId="1258" xr:uid="{46F77CD6-4619-4B8B-A281-4338A2ADDDEF}"/>
    <cellStyle name="Style 950 2" xfId="1259" xr:uid="{DDEE280D-B148-437E-9A0F-EFD86291B9EA}"/>
    <cellStyle name="Style 950 3" xfId="1260" xr:uid="{C45D7C32-3288-41FB-9946-7F2E56DC09F2}"/>
    <cellStyle name="Style 951" xfId="1261" xr:uid="{A9DF0F5B-4A3B-4A46-B0EF-4705405DA6C4}"/>
    <cellStyle name="Style 951 2" xfId="1262" xr:uid="{415FF32E-D258-4CD3-AC48-149A41C51A84}"/>
    <cellStyle name="Style 951 3" xfId="1263" xr:uid="{9643B501-1377-4E81-81C5-0B8D1424B4AE}"/>
    <cellStyle name="Style 952" xfId="1264" xr:uid="{1FC49F3A-5B39-42B8-B80A-A58403BEEA16}"/>
    <cellStyle name="Style 952 2" xfId="1265" xr:uid="{A8F5491D-DD3F-47D4-AF18-548F4A9BCC23}"/>
    <cellStyle name="Style 952 3" xfId="1266" xr:uid="{12B49F61-C885-4F5C-8985-E38568D15BDD}"/>
    <cellStyle name="Style 953" xfId="1267" xr:uid="{64938B8D-C6E0-41B0-8CCD-55F92B925B2C}"/>
    <cellStyle name="Style 953 2" xfId="1268" xr:uid="{2629A487-9D42-4D4C-9E59-FFC5EB907C93}"/>
    <cellStyle name="Style 953 3" xfId="1269" xr:uid="{3B8BB5D8-28DD-4DEF-B343-847D23B6CBFD}"/>
    <cellStyle name="Style 958" xfId="1270" xr:uid="{8460FB1C-06DF-4729-BEF3-9A069511A8AA}"/>
    <cellStyle name="Style 958 2" xfId="1271" xr:uid="{7FC8367E-8C70-4F25-B9B8-A41D1B7540AA}"/>
    <cellStyle name="Style 958 3" xfId="1272" xr:uid="{5F1D1C25-C018-44C9-9368-8E8A4EBD804B}"/>
    <cellStyle name="Style 959" xfId="1273" xr:uid="{958BE793-916E-4EA7-9E4F-962926C9E608}"/>
    <cellStyle name="Style 959 2" xfId="1274" xr:uid="{A5C8942A-0C71-40B0-AB04-D7666F225C82}"/>
    <cellStyle name="Style 959 3" xfId="1275" xr:uid="{AED3DE7D-CC45-44A9-8E22-508E78C76E78}"/>
    <cellStyle name="Style 960" xfId="1276" xr:uid="{5867AF6E-80CB-4F34-BA93-DDC1B8528213}"/>
    <cellStyle name="Style 960 2" xfId="1277" xr:uid="{826196EA-EAEC-452B-8ACB-4D5B5342E82C}"/>
    <cellStyle name="Style 960 3" xfId="1278" xr:uid="{7276A5A8-E408-4928-A76F-F9EF12A1D4B1}"/>
    <cellStyle name="Style 961" xfId="1279" xr:uid="{A9AFA2AA-2661-4C5C-94F9-0E85A685B20A}"/>
    <cellStyle name="Style 961 2" xfId="1280" xr:uid="{1DCFB33E-7F64-4EA4-AFE3-21DDE00A11CC}"/>
    <cellStyle name="Style 961 3" xfId="1281" xr:uid="{2BA30F63-BBB5-42B3-A5D6-5EA62B275B53}"/>
    <cellStyle name="Style 966" xfId="1282" xr:uid="{4B8AFE6F-ADD0-44DF-9F99-C440C8B7647A}"/>
    <cellStyle name="Style 966 2" xfId="1283" xr:uid="{985E5F98-B918-407C-853C-5E4D315BDD88}"/>
    <cellStyle name="Style 966 3" xfId="1284" xr:uid="{49CE7266-F509-480E-ADCF-72F54F85D122}"/>
    <cellStyle name="Style 967" xfId="1285" xr:uid="{6E3103CE-8475-4459-ACD1-D18C49D4E142}"/>
    <cellStyle name="Style 967 2" xfId="1286" xr:uid="{3ACBB613-6FE5-4CFD-959F-F4C3D100C8FA}"/>
    <cellStyle name="Style 967 3" xfId="1287" xr:uid="{3674B58F-0FC6-4FB2-9977-DC2507EA2C13}"/>
    <cellStyle name="Style 968" xfId="1288" xr:uid="{D76EE42F-11C7-43FC-BF5D-6D8AD287D762}"/>
    <cellStyle name="Style 968 2" xfId="1289" xr:uid="{DEDFFA4E-721C-4476-95CF-15362FBB2FBA}"/>
    <cellStyle name="Style 968 3" xfId="1290" xr:uid="{2B68D257-17DD-4773-9033-B3B21EA92CD6}"/>
    <cellStyle name="Style 969" xfId="1291" xr:uid="{92F4D105-2530-4630-A3F3-B101353414FE}"/>
    <cellStyle name="Style 969 2" xfId="1292" xr:uid="{C02D79C9-49CB-4F57-8723-D5C41B83AEEB}"/>
    <cellStyle name="Style 969 3" xfId="1293" xr:uid="{3E33B119-4F2A-42BE-B742-CF43DF74FFF2}"/>
    <cellStyle name="Style 974" xfId="1294" xr:uid="{B7324670-4659-46A9-9803-22AA90ED1F7C}"/>
    <cellStyle name="Style 974 2" xfId="1295" xr:uid="{8A46EA91-2D2D-42F8-8C16-F1A797DB8119}"/>
    <cellStyle name="Style 974 3" xfId="1296" xr:uid="{A613B7E8-FD64-43E4-886E-C1CEC8AAFABC}"/>
    <cellStyle name="Style 975" xfId="1297" xr:uid="{9E4CE5D3-CFAD-4799-810F-90A19481AC45}"/>
    <cellStyle name="Style 975 2" xfId="1298" xr:uid="{66EC2005-0617-4E28-9759-AB6FFE8621B9}"/>
    <cellStyle name="Style 975 3" xfId="1299" xr:uid="{A6E4AC7F-A114-4B05-A7ED-8DF54C7D0017}"/>
    <cellStyle name="Style 976" xfId="1300" xr:uid="{33F67E09-C6BD-4F8C-92D2-E9B52E0D8C33}"/>
    <cellStyle name="Style 976 2" xfId="1301" xr:uid="{03762FDB-3F1D-4DBE-86B2-560BEA69C1F9}"/>
    <cellStyle name="Style 976 3" xfId="1302" xr:uid="{85872161-368B-4D91-B4C9-3C4F324483BA}"/>
    <cellStyle name="Style 977" xfId="1303" xr:uid="{A9BEF000-23D8-40DD-B41E-798E98982AF3}"/>
    <cellStyle name="Style 977 2" xfId="1304" xr:uid="{2939C7FF-3688-4045-A96E-27D8C077028A}"/>
    <cellStyle name="Style 977 3" xfId="1305" xr:uid="{586709D1-FE8B-4C58-8FCF-496ADB73B315}"/>
    <cellStyle name="Style 979" xfId="1306" xr:uid="{809B64A1-DB12-4006-B060-FA1EA915586D}"/>
    <cellStyle name="Style 979 2" xfId="1307" xr:uid="{2D37D21F-C5B2-4D9E-B247-91A22E54774D}"/>
    <cellStyle name="Style 979 3" xfId="1308" xr:uid="{65028755-83A1-4789-B479-0080E2B56DD2}"/>
    <cellStyle name="Style 981" xfId="1309" xr:uid="{394FD6E0-0738-4399-95A4-4E281531FD08}"/>
    <cellStyle name="Style 981 2" xfId="1310" xr:uid="{DF6E9574-73DF-4163-9DDE-B556427A288C}"/>
    <cellStyle name="Style 981 3" xfId="1311" xr:uid="{02134315-01A3-4AA6-A195-2A254B715F79}"/>
    <cellStyle name="Style 982" xfId="1312" xr:uid="{61E8A738-C642-4C88-ABFD-0C0DC1F5BD16}"/>
    <cellStyle name="Style 982 2" xfId="1313" xr:uid="{E307B7C7-38C5-4717-9C8E-2A26355708F2}"/>
    <cellStyle name="Style 982 3" xfId="1314" xr:uid="{1037AB41-D576-44D1-8D8D-7AC20CE164B6}"/>
    <cellStyle name="Style 983" xfId="1315" xr:uid="{16C5E66A-AB60-4ED4-A92D-E952BC9C8CCD}"/>
    <cellStyle name="Style 983 2" xfId="1316" xr:uid="{8B8CEF64-68E4-4415-A313-45A97FFDF13F}"/>
    <cellStyle name="Style 983 3" xfId="1317" xr:uid="{4551F8B9-8332-446A-B2CA-89CBF0AC54E8}"/>
    <cellStyle name="Style 984" xfId="1318" xr:uid="{09152DAA-5EED-4707-A30D-6E4BE9C5FF42}"/>
    <cellStyle name="Style 984 2" xfId="1319" xr:uid="{A05AB879-6223-4072-AF7D-4EAB85BF0361}"/>
    <cellStyle name="Style 984 3" xfId="1320" xr:uid="{C1E1E332-3691-452A-BFD4-C1A929941DC3}"/>
    <cellStyle name="Style 985" xfId="1321" xr:uid="{289252C2-420B-468A-B89C-2209408E1AFF}"/>
    <cellStyle name="Style 985 2" xfId="1322" xr:uid="{1D3CF58E-901F-498D-9BA1-E73399B19EFD}"/>
    <cellStyle name="Style 985 3" xfId="1323" xr:uid="{03853FD2-3612-4831-A5B1-279BC4F46EE8}"/>
    <cellStyle name="Style 986" xfId="1324" xr:uid="{F85BF45D-4EE1-4651-9A9D-18E6A30EF60A}"/>
    <cellStyle name="Style 986 2" xfId="1325" xr:uid="{CD0F21D8-DED6-4CB0-BC06-C926FE75A020}"/>
    <cellStyle name="Style 986 3" xfId="1326" xr:uid="{B9FC5392-B675-4D42-81BD-5599AA7A0137}"/>
    <cellStyle name="Style 987" xfId="1327" xr:uid="{CEB02EED-DC6B-4EB6-B8D5-324752069C78}"/>
    <cellStyle name="Style 987 2" xfId="1328" xr:uid="{657785D7-9AF5-4205-B976-DACF9305F4FC}"/>
    <cellStyle name="Style 987 3" xfId="1329" xr:uid="{3F207BFD-1705-4C31-8523-4242AF2C2D1B}"/>
    <cellStyle name="Style 988" xfId="1330" xr:uid="{B8462B6A-9546-4711-BBA8-5FDB3A8205BA}"/>
    <cellStyle name="Style 988 2" xfId="1331" xr:uid="{F2564610-5714-476B-BF82-B79608582C9C}"/>
    <cellStyle name="Style 988 3" xfId="1332" xr:uid="{38C82D68-14F3-4E89-B21A-AA5ECD849373}"/>
    <cellStyle name="Style 989" xfId="1333" xr:uid="{58964661-386C-4341-A372-1576F674DF9A}"/>
    <cellStyle name="Style 989 2" xfId="1334" xr:uid="{BE894073-ED62-48CD-B1BA-ACB566135B8D}"/>
    <cellStyle name="Style 989 3" xfId="1335" xr:uid="{D3DC634C-4DD6-47F4-BDC9-AB4719656D60}"/>
    <cellStyle name="Style 991" xfId="1336" xr:uid="{39BFB761-D7F6-4169-947D-63AB1457D93E}"/>
    <cellStyle name="Style 991 2" xfId="1337" xr:uid="{230C13D9-229C-4099-86F1-4D644E1EFAC6}"/>
    <cellStyle name="Style 991 3" xfId="1338" xr:uid="{FBD14CE3-455F-4D8E-9C59-5EEFF84F3B56}"/>
    <cellStyle name="Title 10" xfId="1339" xr:uid="{248AA937-683B-40C7-9868-DCAD7F7F0278}"/>
    <cellStyle name="Title 11" xfId="1340" xr:uid="{2A05ACC9-24D0-48CF-BB7F-7143FF7AF133}"/>
    <cellStyle name="Title 12" xfId="1341" xr:uid="{6D4CC197-2F92-4F64-A7E6-14021FB13730}"/>
    <cellStyle name="Title 13" xfId="1342" xr:uid="{BCF70A02-0EB0-497E-985B-127A72930C7B}"/>
    <cellStyle name="Title 14" xfId="1343" xr:uid="{453EE326-5DB3-4AFA-8A6D-5FDDDBF9B358}"/>
    <cellStyle name="Title 15" xfId="1344" xr:uid="{64D7420C-57CD-490E-A356-76A1E8BB1168}"/>
    <cellStyle name="Title 16" xfId="1345" xr:uid="{A7F4AD68-A60C-4110-8C2E-CC8C21316501}"/>
    <cellStyle name="Title 17" xfId="1346" xr:uid="{D3D7D251-A6D0-4CB6-9B93-9E973CC20410}"/>
    <cellStyle name="Title 18" xfId="1347" xr:uid="{3BE8A2EB-A825-437D-8DD2-5B1F97BD96DE}"/>
    <cellStyle name="Title 19" xfId="1348" xr:uid="{E772438F-1946-4D9E-A916-36E6284677A4}"/>
    <cellStyle name="Title 2" xfId="1349" xr:uid="{3C6DDAB3-1BB1-4CA9-953A-3918BEEE0BCF}"/>
    <cellStyle name="Title 20" xfId="1350" xr:uid="{DE2F1D3E-86CD-4718-8B92-2049AFA868FA}"/>
    <cellStyle name="Title 3" xfId="1351" xr:uid="{032D3F62-787A-43F4-8009-D2017BBE3E4B}"/>
    <cellStyle name="Title 4" xfId="1352" xr:uid="{94858B6E-11AD-4D65-9746-1F537C38A21C}"/>
    <cellStyle name="Title 5" xfId="1353" xr:uid="{0F50865F-2AA0-4D3A-9205-A833A7E93959}"/>
    <cellStyle name="Title 6" xfId="1354" xr:uid="{A3803E2A-0B6B-491A-B96E-1EB89213DA14}"/>
    <cellStyle name="Title 7" xfId="1355" xr:uid="{5B1B43C6-C7D4-4AF4-9B74-3898A6B266A7}"/>
    <cellStyle name="Title 8" xfId="1356" xr:uid="{B1E17C2F-BFDA-48E2-879F-EAF481F60C52}"/>
    <cellStyle name="Title 9" xfId="1357" xr:uid="{29AC507D-5222-4073-BC47-3EAD2B676BE6}"/>
    <cellStyle name="Total 10" xfId="1358" xr:uid="{51D31266-8291-4693-BD48-D486F2C1E234}"/>
    <cellStyle name="Total 11" xfId="1359" xr:uid="{08745BD7-F40D-4681-8775-3A98F6C9AE81}"/>
    <cellStyle name="Total 12" xfId="1360" xr:uid="{696299D2-D5B3-4AA2-A8BF-44D287E45AD1}"/>
    <cellStyle name="Total 13" xfId="1361" xr:uid="{E906C06F-27BB-4D0D-8AD2-0F04B94A7954}"/>
    <cellStyle name="Total 14" xfId="1362" xr:uid="{061C3D05-7EB6-4C4B-BD5C-BE15C50242DA}"/>
    <cellStyle name="Total 15" xfId="1363" xr:uid="{43933328-BAA3-430D-8D3E-4D3FE91257D7}"/>
    <cellStyle name="Total 16" xfId="1364" xr:uid="{DF361E34-D2AE-4432-AD11-7DE9D5097689}"/>
    <cellStyle name="Total 17" xfId="1365" xr:uid="{38D43EFC-8624-4500-B010-8F86089D33BC}"/>
    <cellStyle name="Total 18" xfId="1366" xr:uid="{2C82C690-2FE0-4A77-AAB2-05C4060E0272}"/>
    <cellStyle name="Total 19" xfId="1367" xr:uid="{E59DD46C-F1DD-4FBC-8277-91C76011A069}"/>
    <cellStyle name="Total 2" xfId="1368" xr:uid="{E54F5796-5A5B-4CA3-BCEA-38B0AE032E69}"/>
    <cellStyle name="Total 20" xfId="1369" xr:uid="{12171D07-592D-4D40-834C-D4EE2171F3CB}"/>
    <cellStyle name="Total 3" xfId="1370" xr:uid="{07679594-3A5F-4AD6-9057-3E31CF518870}"/>
    <cellStyle name="Total 4" xfId="1371" xr:uid="{569D27A8-28C0-41E0-B00B-58AF88FA5D6A}"/>
    <cellStyle name="Total 5" xfId="1372" xr:uid="{1560F4A3-F3BC-4CFE-841B-BF3C9FE128FB}"/>
    <cellStyle name="Total 6" xfId="1373" xr:uid="{78159552-4CCA-4E19-B2FA-C7F3A64EA064}"/>
    <cellStyle name="Total 7" xfId="1374" xr:uid="{18F4AF0F-F225-4E92-AE9E-9733FA8D1843}"/>
    <cellStyle name="Total 8" xfId="1375" xr:uid="{74FCABD8-1911-4ADF-B84A-3CE588BE9822}"/>
    <cellStyle name="Total 9" xfId="1376" xr:uid="{C6F3F998-FE9C-45D9-BF61-B3E85D8C628C}"/>
    <cellStyle name="Warning Text 10" xfId="1377" xr:uid="{FFE0C45A-B908-4F02-8CB7-AC3AB6F905B7}"/>
    <cellStyle name="Warning Text 11" xfId="1378" xr:uid="{4FF6F493-9853-4848-91C9-690135C3CACC}"/>
    <cellStyle name="Warning Text 12" xfId="1379" xr:uid="{70806E33-EE99-467E-97E1-53AE32B6BA12}"/>
    <cellStyle name="Warning Text 13" xfId="1380" xr:uid="{C1001E28-E386-4EEC-8C06-7797580312C4}"/>
    <cellStyle name="Warning Text 14" xfId="1381" xr:uid="{3013C40D-1E16-4A02-8496-9ECB8D9E268E}"/>
    <cellStyle name="Warning Text 15" xfId="1382" xr:uid="{569E7DA7-96D9-420E-B4C5-AA02BCC78C5A}"/>
    <cellStyle name="Warning Text 16" xfId="1383" xr:uid="{14B881F9-EFC7-4CAE-9241-CD85FBE16C8A}"/>
    <cellStyle name="Warning Text 17" xfId="1384" xr:uid="{696B7AAE-91A9-4E6E-94F9-8B6C657239F4}"/>
    <cellStyle name="Warning Text 18" xfId="1385" xr:uid="{BCA3A910-C551-4628-BDA4-EBC08797B70A}"/>
    <cellStyle name="Warning Text 19" xfId="1386" xr:uid="{9CF8A639-5F3A-48F2-8AA6-B07F098A5B90}"/>
    <cellStyle name="Warning Text 2" xfId="1387" xr:uid="{4AF14097-0A5F-476E-8FDE-BE6883CFC502}"/>
    <cellStyle name="Warning Text 20" xfId="1388" xr:uid="{4B32FD28-9D1E-4D12-B6E6-DC179CA1597F}"/>
    <cellStyle name="Warning Text 3" xfId="1389" xr:uid="{A4D4C0D5-FB84-4AE3-A324-CDA7C028301C}"/>
    <cellStyle name="Warning Text 4" xfId="1390" xr:uid="{CE948342-46A4-4158-98E7-5331A1931167}"/>
    <cellStyle name="Warning Text 5" xfId="1391" xr:uid="{4B228E2C-D012-4A0A-857E-64506BA722EA}"/>
    <cellStyle name="Warning Text 6" xfId="1392" xr:uid="{1C87DD90-2AF1-4374-B7DC-EF6FCE0744DD}"/>
    <cellStyle name="Warning Text 7" xfId="1393" xr:uid="{1CC09F25-1ADF-4394-B13B-B13CC30012B0}"/>
    <cellStyle name="Warning Text 8" xfId="1394" xr:uid="{601491EE-97AB-4DA0-80F6-7A22051D48B5}"/>
    <cellStyle name="Warning Text 9" xfId="1395" xr:uid="{FABB43E2-119F-4FE6-80B2-4FA6DF24E65D}"/>
    <cellStyle name="백분율" xfId="1" builtinId="5"/>
    <cellStyle name="쉼표" xfId="2" builtinId="3"/>
    <cellStyle name="표준" xfId="0" builtinId="0"/>
    <cellStyle name="하이퍼링크" xfId="706" builtinId="8"/>
  </cellStyles>
  <dxfs count="63"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theme="0" tint="-0.14996795556505021"/>
      </font>
    </dxf>
    <dxf>
      <font>
        <color theme="1"/>
      </font>
      <fill>
        <patternFill>
          <bgColor theme="9"/>
        </patternFill>
      </fill>
    </dxf>
    <dxf>
      <font>
        <color theme="9" tint="-0.24994659260841701"/>
      </font>
      <fill>
        <patternFill patternType="solid">
          <fgColor indexed="64"/>
          <bgColor theme="0" tint="-0.14996795556505021"/>
        </patternFill>
      </fill>
    </dxf>
    <dxf>
      <font>
        <color theme="0" tint="-0.14996795556505021"/>
      </font>
    </dxf>
    <dxf>
      <font>
        <color theme="9" tint="-0.24994659260841701"/>
      </font>
      <fill>
        <patternFill patternType="solid">
          <fgColor indexed="64"/>
          <bgColor theme="0" tint="-0.14996795556505021"/>
        </patternFill>
      </fill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9" tint="-0.24994659260841701"/>
      </font>
      <fill>
        <patternFill>
          <bgColor theme="0" tint="-0.14996795556505021"/>
        </patternFill>
      </fill>
    </dxf>
    <dxf>
      <font>
        <color theme="9" tint="-0.24994659260841701"/>
      </font>
      <fill>
        <patternFill patternType="solid">
          <fgColor indexed="64"/>
          <bgColor theme="0" tint="-0.14996795556505021"/>
        </patternFill>
      </fill>
    </dxf>
    <dxf>
      <font>
        <color theme="0" tint="-0.14996795556505021"/>
      </font>
    </dxf>
    <dxf>
      <font>
        <color theme="9" tint="-0.24994659260841701"/>
      </font>
      <fill>
        <patternFill patternType="solid">
          <fgColor indexed="64"/>
          <bgColor theme="0" tint="-0.14996795556505021"/>
        </patternFill>
      </fill>
    </dxf>
    <dxf>
      <font>
        <color theme="0" tint="-0.14996795556505021"/>
      </font>
    </dxf>
    <dxf>
      <font>
        <color theme="9" tint="-0.24994659260841701"/>
      </font>
      <fill>
        <patternFill patternType="solid">
          <fgColor indexed="64"/>
          <bgColor theme="0" tint="-0.14996795556505021"/>
        </patternFill>
      </fill>
    </dxf>
    <dxf>
      <font>
        <color theme="0" tint="-0.14996795556505021"/>
      </font>
    </dxf>
    <dxf>
      <font>
        <color theme="9" tint="-0.24994659260841701"/>
      </font>
      <fill>
        <patternFill patternType="solid">
          <fgColor indexed="64"/>
          <bgColor theme="0" tint="-0.14996795556505021"/>
        </patternFill>
      </fill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FF0000"/>
      </font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theme="0" tint="-0.14996795556505021"/>
      </font>
    </dxf>
    <dxf>
      <font>
        <color theme="1"/>
      </font>
      <fill>
        <patternFill>
          <bgColor theme="9"/>
        </patternFill>
      </fill>
    </dxf>
    <dxf>
      <font>
        <color theme="9" tint="-0.24994659260841701"/>
      </font>
      <fill>
        <patternFill patternType="solid">
          <fgColor indexed="64"/>
          <bgColor theme="0" tint="-0.14996795556505021"/>
        </patternFill>
      </fill>
    </dxf>
    <dxf>
      <font>
        <color theme="0" tint="-0.14996795556505021"/>
      </font>
    </dxf>
    <dxf>
      <font>
        <color theme="9" tint="-0.24994659260841701"/>
      </font>
      <fill>
        <patternFill patternType="solid">
          <fgColor indexed="64"/>
          <bgColor theme="0" tint="-0.14996795556505021"/>
        </patternFill>
      </fill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9" tint="-0.24994659260841701"/>
      </font>
      <fill>
        <patternFill>
          <bgColor theme="0" tint="-0.14996795556505021"/>
        </patternFill>
      </fill>
    </dxf>
    <dxf>
      <font>
        <color theme="9" tint="-0.24994659260841701"/>
      </font>
      <fill>
        <patternFill patternType="solid">
          <fgColor indexed="64"/>
          <bgColor theme="0" tint="-0.14996795556505021"/>
        </patternFill>
      </fill>
    </dxf>
    <dxf>
      <font>
        <color theme="0" tint="-0.14996795556505021"/>
      </font>
    </dxf>
    <dxf>
      <font>
        <color theme="9" tint="-0.24994659260841701"/>
      </font>
      <fill>
        <patternFill patternType="solid">
          <fgColor indexed="64"/>
          <bgColor theme="0" tint="-0.14996795556505021"/>
        </patternFill>
      </fill>
    </dxf>
    <dxf>
      <font>
        <color theme="0" tint="-0.14996795556505021"/>
      </font>
    </dxf>
    <dxf>
      <font>
        <color theme="9" tint="-0.24994659260841701"/>
      </font>
      <fill>
        <patternFill patternType="solid">
          <fgColor indexed="64"/>
          <bgColor theme="0" tint="-0.14996795556505021"/>
        </patternFill>
      </fill>
    </dxf>
    <dxf>
      <font>
        <color theme="0" tint="-0.14996795556505021"/>
      </font>
    </dxf>
    <dxf>
      <font>
        <color theme="9" tint="-0.24994659260841701"/>
      </font>
      <fill>
        <patternFill patternType="solid">
          <fgColor indexed="64"/>
          <bgColor theme="0" tint="-0.14996795556505021"/>
        </patternFill>
      </fill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C7CE"/>
      <color rgb="FFFFC1C1"/>
      <color rgb="FFFFB3B3"/>
      <color rgb="FFFF8989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'Analysis Tool'!$A$79:$A$88</c:f>
              <c:strCache>
                <c:ptCount val="10"/>
                <c:pt idx="0">
                  <c:v>Hyatt Regency</c:v>
                </c:pt>
                <c:pt idx="1">
                  <c:v>Crown Sydney(Higher)</c:v>
                </c:pt>
                <c:pt idx="2">
                  <c:v>Sofitel Daring Harbour</c:v>
                </c:pt>
                <c:pt idx="3">
                  <c:v>QT Sydney</c:v>
                </c:pt>
                <c:pt idx="4">
                  <c:v>Paradox Sydney</c:v>
                </c:pt>
                <c:pt idx="5">
                  <c:v>Swissotel</c:v>
                </c:pt>
                <c:pt idx="6">
                  <c:v>Pullman Sydney Hyde Park(Lower)</c:v>
                </c:pt>
                <c:pt idx="8">
                  <c:v>Min</c:v>
                </c:pt>
                <c:pt idx="9">
                  <c:v>Max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9B88-4836-98AD-84263520F5C7}"/>
              </c:ext>
            </c:extLst>
          </c:dPt>
          <c:dLbls>
            <c:dLbl>
              <c:idx val="0"/>
              <c:layout>
                <c:manualLayout>
                  <c:x val="-6.8469493195344481E-3"/>
                  <c:y val="-1.8831409156633727E-2"/>
                </c:manualLayout>
              </c:layout>
              <c:tx>
                <c:rich>
                  <a:bodyPr/>
                  <a:lstStyle/>
                  <a:p>
                    <a:fld id="{4C82E639-5FD5-A64D-AD1E-2166B3A2D870}" type="CELLRANGE">
                      <a:rPr lang="en-US" altLang="ja-JP"/>
                      <a:pPr/>
                      <a:t>[]</a:t>
                    </a:fld>
                    <a:endParaRPr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9B88-4836-98AD-84263520F5C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DC7D2CA-8E94-43DB-9917-EDCC7671188D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B88-4836-98AD-84263520F5C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ABD54A4-4F83-461F-988F-C63E94263C46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B88-4836-98AD-84263520F5C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C65873C-1C8C-44C5-8A28-A530352AF71C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B88-4836-98AD-84263520F5C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6522C5-FAE9-4727-AC48-BEE586A24986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B88-4836-98AD-84263520F5C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86AAA99-242B-4333-B3F7-E86865D7911F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B88-4836-98AD-84263520F5C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5F94468-35EF-4316-8F9E-25087A9B4681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B88-4836-98AD-84263520F5C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DEDC6E-99C1-314F-B0E7-264CF1F73082}" type="CELLRANGE">
                      <a:rPr lang="en-US" altLang="ja-JP"/>
                      <a:pPr/>
                      <a:t>[]</a:t>
                    </a:fld>
                    <a:endParaRPr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9B88-4836-98AD-84263520F5C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B88-4836-98AD-84263520F5C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B88-4836-98AD-84263520F5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'Analysis Tool'!$B$79:$B$88</c:f>
              <c:numCache>
                <c:formatCode>General</c:formatCode>
                <c:ptCount val="10"/>
                <c:pt idx="0">
                  <c:v>0</c:v>
                </c:pt>
                <c:pt idx="1">
                  <c:v>-0.14999999999999991</c:v>
                </c:pt>
                <c:pt idx="2">
                  <c:v>0.15000000000000005</c:v>
                </c:pt>
                <c:pt idx="3">
                  <c:v>0.95000000000000018</c:v>
                </c:pt>
                <c:pt idx="4">
                  <c:v>-9.999999999999995E-2</c:v>
                </c:pt>
                <c:pt idx="5">
                  <c:v>0.20000000000000012</c:v>
                </c:pt>
                <c:pt idx="6">
                  <c:v>-0.75</c:v>
                </c:pt>
                <c:pt idx="7">
                  <c:v>0</c:v>
                </c:pt>
              </c:numCache>
            </c:numRef>
          </c:xVal>
          <c:yVal>
            <c:numRef>
              <c:f>'Analysis Tool'!$C$79:$C$88</c:f>
              <c:numCache>
                <c:formatCode>General</c:formatCode>
                <c:ptCount val="10"/>
                <c:pt idx="0">
                  <c:v>0</c:v>
                </c:pt>
                <c:pt idx="1">
                  <c:v>410</c:v>
                </c:pt>
                <c:pt idx="2">
                  <c:v>53</c:v>
                </c:pt>
                <c:pt idx="3">
                  <c:v>10</c:v>
                </c:pt>
                <c:pt idx="4">
                  <c:v>115</c:v>
                </c:pt>
                <c:pt idx="5">
                  <c:v>20</c:v>
                </c:pt>
                <c:pt idx="6">
                  <c:v>-136</c:v>
                </c:pt>
                <c:pt idx="7">
                  <c:v>0</c:v>
                </c:pt>
                <c:pt idx="8">
                  <c:v>410</c:v>
                </c:pt>
                <c:pt idx="9">
                  <c:v>-410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'Analysis Tool'!$A$79:$A$86</c15:f>
                <c15:dlblRangeCache>
                  <c:ptCount val="8"/>
                  <c:pt idx="0">
                    <c:v>Hyatt Regency</c:v>
                  </c:pt>
                  <c:pt idx="1">
                    <c:v>Crown Sydney(Higher)</c:v>
                  </c:pt>
                  <c:pt idx="2">
                    <c:v>Sofitel Daring Harbour</c:v>
                  </c:pt>
                  <c:pt idx="3">
                    <c:v>QT Sydney</c:v>
                  </c:pt>
                  <c:pt idx="4">
                    <c:v>Paradox Sydney</c:v>
                  </c:pt>
                  <c:pt idx="5">
                    <c:v>Swissotel</c:v>
                  </c:pt>
                  <c:pt idx="6">
                    <c:v>Pullman Sydney Hyde Park(Lower)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9B88-4836-98AD-84263520F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014072"/>
        <c:axId val="642014400"/>
      </c:scatterChart>
      <c:valAx>
        <c:axId val="642014072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one"/>
        <c:spPr>
          <a:noFill/>
          <a:ln w="9525" cap="flat" cmpd="thickThin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014400"/>
        <c:crossesAt val="0"/>
        <c:crossBetween val="midCat"/>
      </c:valAx>
      <c:valAx>
        <c:axId val="6420144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Rate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thickThin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014072"/>
        <c:crossesAt val="0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Sample!$A$79:$A$88</c:f>
              <c:strCache>
                <c:ptCount val="10"/>
                <c:pt idx="0">
                  <c:v>Hotel Grand</c:v>
                </c:pt>
                <c:pt idx="1">
                  <c:v>City View</c:v>
                </c:pt>
                <c:pt idx="2">
                  <c:v>Country Inn</c:v>
                </c:pt>
                <c:pt idx="3">
                  <c:v>Lakefront Lodge</c:v>
                </c:pt>
                <c:pt idx="4">
                  <c:v>Hotel Downtown</c:v>
                </c:pt>
                <c:pt idx="5">
                  <c:v>Seaside Cottage</c:v>
                </c:pt>
                <c:pt idx="6">
                  <c:v>Family Hotel</c:v>
                </c:pt>
                <c:pt idx="7">
                  <c:v>Royal Tower</c:v>
                </c:pt>
                <c:pt idx="8">
                  <c:v>Min</c:v>
                </c:pt>
                <c:pt idx="9">
                  <c:v>Max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FB3-4132-9BDB-38A68A8110AC}"/>
              </c:ext>
            </c:extLst>
          </c:dPt>
          <c:dLbls>
            <c:dLbl>
              <c:idx val="0"/>
              <c:layout>
                <c:manualLayout>
                  <c:x val="-6.8469493195344481E-3"/>
                  <c:y val="-1.8831409156633727E-2"/>
                </c:manualLayout>
              </c:layout>
              <c:tx>
                <c:rich>
                  <a:bodyPr/>
                  <a:lstStyle/>
                  <a:p>
                    <a:fld id="{496230F0-4189-CB42-AEC0-754B4BCCB3AB}" type="CELLRANGE">
                      <a:rPr lang="en-US" altLang="ja-JP"/>
                      <a:pPr/>
                      <a:t>[]</a:t>
                    </a:fld>
                    <a:endParaRPr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AFB3-4132-9BDB-38A68A811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7C5A3E-A765-4ED6-8791-D83857E50BA6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B3-4132-9BDB-38A68A811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00EAB2-8AFA-44F7-B619-CAD72EFE857F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FB3-4132-9BDB-38A68A811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F40309-2DC4-4222-AC3D-0F2FC4ED8BDB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B3-4132-9BDB-38A68A811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AD250EA-3659-4BC3-88EC-387F04EB949E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FB3-4132-9BDB-38A68A8110A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D029AE-F054-404D-AF6B-CC2F8217FF09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B3-4132-9BDB-38A68A8110A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793410B-AC8F-443F-8E82-8593ECFA3D72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FB3-4132-9BDB-38A68A8110A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9F27EAA-A8AB-49EA-B2B0-691A23437B68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B3-4132-9BDB-38A68A8110A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FB3-4132-9BDB-38A68A8110A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FB3-4132-9BDB-38A68A811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Sample!$B$79:$B$88</c:f>
              <c:numCache>
                <c:formatCode>General</c:formatCode>
                <c:ptCount val="10"/>
                <c:pt idx="0">
                  <c:v>0</c:v>
                </c:pt>
                <c:pt idx="1">
                  <c:v>1.6</c:v>
                </c:pt>
                <c:pt idx="2">
                  <c:v>1.0500000000000003</c:v>
                </c:pt>
                <c:pt idx="3">
                  <c:v>-0.39999999999999997</c:v>
                </c:pt>
                <c:pt idx="4">
                  <c:v>0.47499999999999998</c:v>
                </c:pt>
                <c:pt idx="5">
                  <c:v>-1.6500000000000001</c:v>
                </c:pt>
                <c:pt idx="6">
                  <c:v>-0.65</c:v>
                </c:pt>
                <c:pt idx="7">
                  <c:v>0.10000000000000009</c:v>
                </c:pt>
              </c:numCache>
            </c:numRef>
          </c:xVal>
          <c:yVal>
            <c:numRef>
              <c:f>Sample!$C$79:$C$88</c:f>
              <c:numCache>
                <c:formatCode>General</c:formatCode>
                <c:ptCount val="10"/>
                <c:pt idx="0">
                  <c:v>0</c:v>
                </c:pt>
                <c:pt idx="1">
                  <c:v>7</c:v>
                </c:pt>
                <c:pt idx="2">
                  <c:v>15</c:v>
                </c:pt>
                <c:pt idx="3">
                  <c:v>39</c:v>
                </c:pt>
                <c:pt idx="4">
                  <c:v>59</c:v>
                </c:pt>
                <c:pt idx="5">
                  <c:v>65</c:v>
                </c:pt>
                <c:pt idx="6">
                  <c:v>-5</c:v>
                </c:pt>
                <c:pt idx="7">
                  <c:v>-11</c:v>
                </c:pt>
                <c:pt idx="8">
                  <c:v>65</c:v>
                </c:pt>
                <c:pt idx="9">
                  <c:v>-65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Sample!$A$79:$A$86</c15:f>
                <c15:dlblRangeCache>
                  <c:ptCount val="8"/>
                  <c:pt idx="0">
                    <c:v>Hotel Grand</c:v>
                  </c:pt>
                  <c:pt idx="1">
                    <c:v>City View</c:v>
                  </c:pt>
                  <c:pt idx="2">
                    <c:v>Country Inn</c:v>
                  </c:pt>
                  <c:pt idx="3">
                    <c:v>Lakefront Lodge</c:v>
                  </c:pt>
                  <c:pt idx="4">
                    <c:v>Hotel Downtown</c:v>
                  </c:pt>
                  <c:pt idx="5">
                    <c:v>Seaside Cottage</c:v>
                  </c:pt>
                  <c:pt idx="6">
                    <c:v>Family Hotel</c:v>
                  </c:pt>
                  <c:pt idx="7">
                    <c:v>Royal Tower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AFB3-4132-9BDB-38A68A811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014072"/>
        <c:axId val="642014400"/>
      </c:scatterChart>
      <c:valAx>
        <c:axId val="642014072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one"/>
        <c:spPr>
          <a:noFill/>
          <a:ln w="9525" cap="flat" cmpd="thickThin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014400"/>
        <c:crossesAt val="0"/>
        <c:crossBetween val="midCat"/>
      </c:valAx>
      <c:valAx>
        <c:axId val="6420144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Rate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thickThin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014072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linkedin.com/in/lynn-zwibak" TargetMode="External"/><Relationship Id="rId1" Type="http://schemas.openxmlformats.org/officeDocument/2006/relationships/hyperlink" Target="mailto:lynn.zwibak@gmail.com?subject=Question%20about%20Price-Value%20Analysis" TargetMode="External"/><Relationship Id="rId6" Type="http://schemas.openxmlformats.org/officeDocument/2006/relationships/image" Target="../media/image4.jp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276224</xdr:colOff>
      <xdr:row>0</xdr:row>
      <xdr:rowOff>209549</xdr:rowOff>
    </xdr:from>
    <xdr:to>
      <xdr:col>22</xdr:col>
      <xdr:colOff>9524</xdr:colOff>
      <xdr:row>4</xdr:row>
      <xdr:rowOff>152399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9886949" y="209549"/>
          <a:ext cx="5295900" cy="1152525"/>
          <a:chOff x="8620125" y="837954"/>
          <a:chExt cx="4071767" cy="1251109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8620125" y="837954"/>
            <a:ext cx="3914775" cy="1251109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endPara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8772525" y="1298489"/>
            <a:ext cx="20574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n-US" sz="1100" b="0" i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    For questions, contact her at: </a:t>
            </a:r>
            <a:br>
              <a:rPr lang="en-US" sz="1100" b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</a:br>
            <a:endParaRPr lang="en-US" sz="1100" b="0">
              <a:solidFill>
                <a:sysClr val="windowText" lastClr="000000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5" name="TextBox 1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10383081" y="1298488"/>
            <a:ext cx="1905000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n-US" sz="1100" b="0" i="1" u="sng">
                <a:solidFill>
                  <a:schemeClr val="accent1"/>
                </a:solidFill>
                <a:latin typeface="+mn-lt"/>
                <a:ea typeface="+mn-ea"/>
                <a:cs typeface="+mn-cs"/>
              </a:rPr>
              <a:t>lynn.zwibak@gmail.com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8772525" y="1551159"/>
            <a:ext cx="1381125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n-US" sz="1100" b="0" i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    View her profile at: </a:t>
            </a:r>
            <a:br>
              <a:rPr lang="en-US" sz="1100" b="0" i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</a:br>
            <a:endParaRPr lang="en-US" sz="1100" b="0" i="1">
              <a:solidFill>
                <a:sysClr val="windowText" lastClr="000000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0" name="TextBox 1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9890145" y="1551159"/>
            <a:ext cx="2505075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n-US" sz="1100" b="0" i="1" u="sng">
                <a:solidFill>
                  <a:schemeClr val="accent1"/>
                </a:solidFill>
                <a:latin typeface="+mn-lt"/>
                <a:ea typeface="+mn-ea"/>
                <a:cs typeface="+mn-cs"/>
              </a:rPr>
              <a:t>www.linkedin.com/in/lynn-zwibak </a:t>
            </a:r>
            <a:br>
              <a:rPr lang="en-US" sz="1100" b="0" i="1" u="sng">
                <a:solidFill>
                  <a:schemeClr val="accent1"/>
                </a:solidFill>
                <a:latin typeface="+mn-lt"/>
                <a:ea typeface="+mn-ea"/>
                <a:cs typeface="+mn-cs"/>
              </a:rPr>
            </a:br>
            <a:endParaRPr lang="en-US" sz="1100" b="0" i="1" u="sng">
              <a:solidFill>
                <a:schemeClr val="accen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8772525" y="1038225"/>
            <a:ext cx="3919367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n-US" sz="1200" b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This tool was created by </a:t>
            </a:r>
            <a:r>
              <a:rPr lang="en-US" sz="12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Lynn</a:t>
            </a:r>
            <a:r>
              <a:rPr lang="en-US" sz="1200" b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 </a:t>
            </a:r>
            <a:r>
              <a:rPr lang="en-US" sz="12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Zwibak </a:t>
            </a:r>
            <a:r>
              <a:rPr lang="en-US" sz="1200" b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for HSMAI Asia Pacific</a:t>
            </a:r>
          </a:p>
        </xdr:txBody>
      </xdr:sp>
    </xdr:grpSp>
    <xdr:clientData/>
  </xdr:twoCellAnchor>
  <xdr:twoCellAnchor>
    <xdr:from>
      <xdr:col>13</xdr:col>
      <xdr:colOff>92605</xdr:colOff>
      <xdr:row>15</xdr:row>
      <xdr:rowOff>211667</xdr:rowOff>
    </xdr:from>
    <xdr:to>
      <xdr:col>22</xdr:col>
      <xdr:colOff>1375730</xdr:colOff>
      <xdr:row>20</xdr:row>
      <xdr:rowOff>375209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pSpPr/>
      </xdr:nvGrpSpPr>
      <xdr:grpSpPr>
        <a:xfrm>
          <a:off x="9008005" y="5240867"/>
          <a:ext cx="7541050" cy="2316192"/>
          <a:chOff x="7858126" y="5251980"/>
          <a:chExt cx="6760000" cy="2306667"/>
        </a:xfrm>
      </xdr:grpSpPr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7858126" y="5251980"/>
            <a:ext cx="6760000" cy="2306667"/>
          </a:xfrm>
          <a:prstGeom prst="rect">
            <a:avLst/>
          </a:prstGeom>
          <a:ln>
            <a:solidFill>
              <a:schemeClr val="tx1"/>
            </a:solidFill>
          </a:ln>
        </xdr:spPr>
      </xdr:pic>
      <xdr:sp macro="" textlink="">
        <xdr:nvSpPr>
          <xdr:cNvPr id="11" name="Speech Bubble: 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9274176" y="6274859"/>
            <a:ext cx="579967" cy="285751"/>
          </a:xfrm>
          <a:prstGeom prst="wedgeRectCallout">
            <a:avLst>
              <a:gd name="adj1" fmla="val 44741"/>
              <a:gd name="adj2" fmla="val 105622"/>
            </a:avLst>
          </a:prstGeom>
          <a:solidFill>
            <a:schemeClr val="accent4">
              <a:lumMod val="40000"/>
              <a:lumOff val="6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Step 1</a:t>
            </a:r>
          </a:p>
        </xdr:txBody>
      </xdr:sp>
      <xdr:sp macro="" textlink="">
        <xdr:nvSpPr>
          <xdr:cNvPr id="13" name="Speech Bubble: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3218585" y="5581122"/>
            <a:ext cx="579967" cy="320147"/>
          </a:xfrm>
          <a:prstGeom prst="wedgeRectCallout">
            <a:avLst>
              <a:gd name="adj1" fmla="val 61135"/>
              <a:gd name="adj2" fmla="val 78955"/>
            </a:avLst>
          </a:prstGeom>
          <a:solidFill>
            <a:schemeClr val="accent4">
              <a:lumMod val="40000"/>
              <a:lumOff val="6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Step 3</a:t>
            </a:r>
          </a:p>
        </xdr:txBody>
      </xdr:sp>
      <xdr:sp macro="" textlink="">
        <xdr:nvSpPr>
          <xdr:cNvPr id="12" name="Speech Bubble: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3544552" y="6795031"/>
            <a:ext cx="579967" cy="289984"/>
          </a:xfrm>
          <a:prstGeom prst="wedgeRectCallout">
            <a:avLst>
              <a:gd name="adj1" fmla="val -19193"/>
              <a:gd name="adj2" fmla="val 138955"/>
            </a:avLst>
          </a:prstGeom>
          <a:solidFill>
            <a:schemeClr val="accent4">
              <a:lumMod val="40000"/>
              <a:lumOff val="6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Step 2</a:t>
            </a:r>
          </a:p>
        </xdr:txBody>
      </xdr:sp>
    </xdr:grpSp>
    <xdr:clientData/>
  </xdr:twoCellAnchor>
  <xdr:twoCellAnchor>
    <xdr:from>
      <xdr:col>13</xdr:col>
      <xdr:colOff>92605</xdr:colOff>
      <xdr:row>7</xdr:row>
      <xdr:rowOff>127529</xdr:rowOff>
    </xdr:from>
    <xdr:to>
      <xdr:col>22</xdr:col>
      <xdr:colOff>1389063</xdr:colOff>
      <xdr:row>14</xdr:row>
      <xdr:rowOff>10132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9008005" y="1994429"/>
          <a:ext cx="7554383" cy="2816303"/>
          <a:chOff x="7897814" y="2204508"/>
          <a:chExt cx="6773333" cy="2753333"/>
        </a:xfrm>
      </xdr:grpSpPr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7897814" y="2204508"/>
            <a:ext cx="6773333" cy="2753333"/>
          </a:xfrm>
          <a:prstGeom prst="rect">
            <a:avLst/>
          </a:prstGeom>
          <a:ln>
            <a:solidFill>
              <a:schemeClr val="tx1"/>
            </a:solidFill>
          </a:ln>
        </xdr:spPr>
      </xdr:pic>
      <xdr:grpSp>
        <xdr:nvGrpSpPr>
          <xdr:cNvPr id="34" name="Group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GrpSpPr/>
        </xdr:nvGrpSpPr>
        <xdr:grpSpPr>
          <a:xfrm>
            <a:off x="9961563" y="2270653"/>
            <a:ext cx="4610097" cy="2013041"/>
            <a:chOff x="9988021" y="2244194"/>
            <a:chExt cx="4610097" cy="2013041"/>
          </a:xfrm>
        </xdr:grpSpPr>
        <xdr:sp macro="" textlink="">
          <xdr:nvSpPr>
            <xdr:cNvPr id="30" name="Speech Bubble: Rectangle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/>
          </xdr:nvSpPr>
          <xdr:spPr>
            <a:xfrm>
              <a:off x="13144500" y="2244194"/>
              <a:ext cx="673097" cy="452000"/>
            </a:xfrm>
            <a:prstGeom prst="wedgeRectCallout">
              <a:avLst>
                <a:gd name="adj1" fmla="val 79159"/>
                <a:gd name="adj2" fmla="val 6680"/>
              </a:avLst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>
                  <a:solidFill>
                    <a:sysClr val="windowText" lastClr="000000"/>
                  </a:solidFill>
                </a:rPr>
                <a:t>Step 4</a:t>
              </a:r>
            </a:p>
          </xdr:txBody>
        </xdr:sp>
        <xdr:sp macro="" textlink="">
          <xdr:nvSpPr>
            <xdr:cNvPr id="31" name="Speech Bubble: 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13925021" y="3805235"/>
              <a:ext cx="673097" cy="452000"/>
            </a:xfrm>
            <a:prstGeom prst="wedgeRectCallout">
              <a:avLst>
                <a:gd name="adj1" fmla="val -61922"/>
                <a:gd name="adj2" fmla="val -36885"/>
              </a:avLst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>
                  <a:solidFill>
                    <a:sysClr val="windowText" lastClr="000000"/>
                  </a:solidFill>
                </a:rPr>
                <a:t>Step 3</a:t>
              </a:r>
            </a:p>
          </xdr:txBody>
        </xdr:sp>
        <xdr:sp macro="" textlink="">
          <xdr:nvSpPr>
            <xdr:cNvPr id="32" name="Speech Bubble: Rectangle 31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/>
          </xdr:nvSpPr>
          <xdr:spPr>
            <a:xfrm>
              <a:off x="10795000" y="2844271"/>
              <a:ext cx="673097" cy="452000"/>
            </a:xfrm>
            <a:prstGeom prst="wedgeRectCallout">
              <a:avLst>
                <a:gd name="adj1" fmla="val -58537"/>
                <a:gd name="adj2" fmla="val 162288"/>
              </a:avLst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>
                  <a:solidFill>
                    <a:sysClr val="windowText" lastClr="000000"/>
                  </a:solidFill>
                </a:rPr>
                <a:t>Step 2</a:t>
              </a:r>
            </a:p>
          </xdr:txBody>
        </xdr:sp>
        <xdr:sp macro="" textlink="">
          <xdr:nvSpPr>
            <xdr:cNvPr id="33" name="Speech Bubble: 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9988021" y="2262188"/>
              <a:ext cx="673097" cy="451999"/>
            </a:xfrm>
            <a:prstGeom prst="wedgeRectCallout">
              <a:avLst>
                <a:gd name="adj1" fmla="val -63455"/>
                <a:gd name="adj2" fmla="val 85622"/>
              </a:avLst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>
                  <a:solidFill>
                    <a:sysClr val="windowText" lastClr="000000"/>
                  </a:solidFill>
                </a:rPr>
                <a:t>Step 1</a:t>
              </a:r>
            </a:p>
          </xdr:txBody>
        </xdr:sp>
      </xdr:grpSp>
    </xdr:grpSp>
    <xdr:clientData/>
  </xdr:twoCellAnchor>
  <xdr:twoCellAnchor editAs="oneCell">
    <xdr:from>
      <xdr:col>13</xdr:col>
      <xdr:colOff>89863</xdr:colOff>
      <xdr:row>21</xdr:row>
      <xdr:rowOff>285750</xdr:rowOff>
    </xdr:from>
    <xdr:to>
      <xdr:col>22</xdr:col>
      <xdr:colOff>1391990</xdr:colOff>
      <xdr:row>31</xdr:row>
      <xdr:rowOff>142875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00363" y="7791450"/>
          <a:ext cx="6788527" cy="25431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641349</xdr:colOff>
      <xdr:row>0</xdr:row>
      <xdr:rowOff>306419</xdr:rowOff>
    </xdr:from>
    <xdr:to>
      <xdr:col>3</xdr:col>
      <xdr:colOff>521824</xdr:colOff>
      <xdr:row>3</xdr:row>
      <xdr:rowOff>6350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9C14554-BD5A-4918-82CA-F3DA75872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49" y="306419"/>
          <a:ext cx="1683875" cy="6651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504825</xdr:colOff>
      <xdr:row>46</xdr:row>
      <xdr:rowOff>57149</xdr:rowOff>
    </xdr:from>
    <xdr:to>
      <xdr:col>10</xdr:col>
      <xdr:colOff>260350</xdr:colOff>
      <xdr:row>63</xdr:row>
      <xdr:rowOff>155574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330200</xdr:colOff>
          <xdr:row>2</xdr:row>
          <xdr:rowOff>63500</xdr:rowOff>
        </xdr:from>
        <xdr:to>
          <xdr:col>14</xdr:col>
          <xdr:colOff>698500</xdr:colOff>
          <xdr:row>4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Go To Ratings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273050</xdr:colOff>
      <xdr:row>28</xdr:row>
      <xdr:rowOff>152400</xdr:rowOff>
    </xdr:from>
    <xdr:to>
      <xdr:col>10</xdr:col>
      <xdr:colOff>482599</xdr:colOff>
      <xdr:row>30</xdr:row>
      <xdr:rowOff>95250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463925" y="5781675"/>
          <a:ext cx="4495799" cy="32385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/>
            <a:t>Enter Ratings Into</a:t>
          </a:r>
          <a:r>
            <a:rPr lang="en-US" sz="1400" baseline="0"/>
            <a:t> White Cells </a:t>
          </a:r>
          <a:r>
            <a:rPr lang="en-US" sz="1400"/>
            <a:t>Below (-3 --&gt; 3)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330200</xdr:colOff>
          <xdr:row>5</xdr:row>
          <xdr:rowOff>25400</xdr:rowOff>
        </xdr:from>
        <xdr:to>
          <xdr:col>14</xdr:col>
          <xdr:colOff>698500</xdr:colOff>
          <xdr:row>7</xdr:row>
          <xdr:rowOff>63500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Go To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330200</xdr:colOff>
          <xdr:row>27</xdr:row>
          <xdr:rowOff>101600</xdr:rowOff>
        </xdr:from>
        <xdr:to>
          <xdr:col>14</xdr:col>
          <xdr:colOff>685800</xdr:colOff>
          <xdr:row>29</xdr:row>
          <xdr:rowOff>139700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Go To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330200</xdr:colOff>
          <xdr:row>30</xdr:row>
          <xdr:rowOff>38100</xdr:rowOff>
        </xdr:from>
        <xdr:to>
          <xdr:col>14</xdr:col>
          <xdr:colOff>685800</xdr:colOff>
          <xdr:row>32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Go To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829235</xdr:colOff>
      <xdr:row>45</xdr:row>
      <xdr:rowOff>101600</xdr:rowOff>
    </xdr:from>
    <xdr:to>
      <xdr:col>1</xdr:col>
      <xdr:colOff>685800</xdr:colOff>
      <xdr:row>47</xdr:row>
      <xdr:rowOff>25400</xdr:rowOff>
    </xdr:to>
    <xdr:sp macro="" textlink="">
      <xdr:nvSpPr>
        <xdr:cNvPr id="8" name="TextBox 6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829235" y="9301629"/>
          <a:ext cx="842683" cy="3048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050" b="1">
              <a:solidFill>
                <a:srgbClr val="FF0000"/>
              </a:solidFill>
            </a:rPr>
            <a:t>Quadrant</a:t>
          </a:r>
          <a:r>
            <a:rPr lang="en-US" sz="1050" b="1" baseline="0">
              <a:solidFill>
                <a:srgbClr val="FF0000"/>
              </a:solidFill>
            </a:rPr>
            <a:t> A</a:t>
          </a:r>
          <a:endParaRPr lang="en-US" sz="105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829235</xdr:colOff>
      <xdr:row>63</xdr:row>
      <xdr:rowOff>3175</xdr:rowOff>
    </xdr:from>
    <xdr:to>
      <xdr:col>1</xdr:col>
      <xdr:colOff>685800</xdr:colOff>
      <xdr:row>64</xdr:row>
      <xdr:rowOff>117475</xdr:rowOff>
    </xdr:to>
    <xdr:sp macro="" textlink="">
      <xdr:nvSpPr>
        <xdr:cNvPr id="9" name="TextBox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29235" y="12632204"/>
          <a:ext cx="842683" cy="3048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050" b="1">
              <a:solidFill>
                <a:srgbClr val="FF0000"/>
              </a:solidFill>
            </a:rPr>
            <a:t>Quadrant</a:t>
          </a:r>
          <a:r>
            <a:rPr lang="en-US" sz="1050" b="1" baseline="0">
              <a:solidFill>
                <a:srgbClr val="FF0000"/>
              </a:solidFill>
            </a:rPr>
            <a:t> D</a:t>
          </a:r>
          <a:endParaRPr lang="en-US" sz="1050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41275</xdr:colOff>
      <xdr:row>45</xdr:row>
      <xdr:rowOff>101600</xdr:rowOff>
    </xdr:from>
    <xdr:to>
      <xdr:col>11</xdr:col>
      <xdr:colOff>246529</xdr:colOff>
      <xdr:row>47</xdr:row>
      <xdr:rowOff>25400</xdr:rowOff>
    </xdr:to>
    <xdr:sp macro="" textlink="">
      <xdr:nvSpPr>
        <xdr:cNvPr id="10" name="TextBox 6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7538010" y="9301629"/>
          <a:ext cx="922431" cy="3048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050" b="1" baseline="0">
              <a:solidFill>
                <a:srgbClr val="FF0000"/>
              </a:solidFill>
            </a:rPr>
            <a:t>Quandrant B</a:t>
          </a:r>
          <a:endParaRPr lang="en-US" sz="1050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38100</xdr:colOff>
      <xdr:row>63</xdr:row>
      <xdr:rowOff>3175</xdr:rowOff>
    </xdr:from>
    <xdr:to>
      <xdr:col>11</xdr:col>
      <xdr:colOff>224117</xdr:colOff>
      <xdr:row>64</xdr:row>
      <xdr:rowOff>117475</xdr:rowOff>
    </xdr:to>
    <xdr:sp macro="" textlink="">
      <xdr:nvSpPr>
        <xdr:cNvPr id="11" name="TextBox 6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534835" y="12632204"/>
          <a:ext cx="903194" cy="3048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050" b="1">
              <a:solidFill>
                <a:srgbClr val="FF0000"/>
              </a:solidFill>
            </a:rPr>
            <a:t>Quadrant</a:t>
          </a:r>
          <a:r>
            <a:rPr lang="en-US" sz="1050" b="1" baseline="0">
              <a:solidFill>
                <a:srgbClr val="FF0000"/>
              </a:solidFill>
            </a:rPr>
            <a:t> C</a:t>
          </a:r>
          <a:endParaRPr lang="en-US" sz="105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907676</xdr:colOff>
      <xdr:row>66</xdr:row>
      <xdr:rowOff>89648</xdr:rowOff>
    </xdr:from>
    <xdr:to>
      <xdr:col>11</xdr:col>
      <xdr:colOff>100852</xdr:colOff>
      <xdr:row>71</xdr:row>
      <xdr:rowOff>11207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907676" y="13291298"/>
          <a:ext cx="7384676" cy="8740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Region A: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Properties in this region are NOT A THREAT. They are more expensive and have lesser attributes.</a:t>
          </a:r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US"/>
            <a:t> </a:t>
          </a:r>
          <a:br>
            <a:rPr lang="en-US"/>
          </a:b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Region B: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Properties in this region MAY OR MAY NOT BE A THREAT. They are more expensive but also have better attributes.</a:t>
          </a:r>
          <a:r>
            <a:rPr lang="en-US"/>
            <a:t> </a:t>
          </a:r>
          <a:br>
            <a:rPr lang="en-US"/>
          </a:b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Region C: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Properties in this region ARE A THREAT. They are less expensive and have better attributes.</a:t>
          </a:r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US"/>
            <a:t> </a:t>
          </a:r>
          <a:br>
            <a:rPr lang="en-US"/>
          </a:b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Region D: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Properties in this region are NOT A THREAT. They are less  expensive and have lesser attributes.</a:t>
          </a:r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US"/>
            <a:t> 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330200</xdr:colOff>
          <xdr:row>46</xdr:row>
          <xdr:rowOff>76200</xdr:rowOff>
        </xdr:from>
        <xdr:to>
          <xdr:col>14</xdr:col>
          <xdr:colOff>685800</xdr:colOff>
          <xdr:row>48</xdr:row>
          <xdr:rowOff>101600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Go To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330200</xdr:colOff>
          <xdr:row>49</xdr:row>
          <xdr:rowOff>0</xdr:rowOff>
        </xdr:from>
        <xdr:to>
          <xdr:col>14</xdr:col>
          <xdr:colOff>685800</xdr:colOff>
          <xdr:row>51</xdr:row>
          <xdr:rowOff>38100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Go To Ratings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907676</xdr:colOff>
      <xdr:row>66</xdr:row>
      <xdr:rowOff>90769</xdr:rowOff>
    </xdr:from>
    <xdr:to>
      <xdr:col>11</xdr:col>
      <xdr:colOff>224117</xdr:colOff>
      <xdr:row>71</xdr:row>
      <xdr:rowOff>12328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907676" y="13291298"/>
          <a:ext cx="7530353" cy="8740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Quadrant A: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Properties in this region are NOT A THREAT. They are more expensive and have lesser attributes.</a:t>
          </a:r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US"/>
            <a:t> </a:t>
          </a:r>
          <a:br>
            <a:rPr lang="en-US"/>
          </a:b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Quadrant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B: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Properties in this region MAY OR MAY NOT BE A THREAT. They are more expensive but also have better attributes.</a:t>
          </a:r>
          <a:r>
            <a:rPr lang="en-US"/>
            <a:t> </a:t>
          </a:r>
          <a:br>
            <a:rPr lang="en-US"/>
          </a:b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Quadrant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C: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Properties in this region ARE A THREAT. They are less expensive and have better attributes.</a:t>
          </a:r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US"/>
            <a:t> </a:t>
          </a:r>
          <a:br>
            <a:rPr lang="en-US"/>
          </a:b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Quadrant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D: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Properties in this region are NOT A THREAT. They are less  expensive and have lesser attributes.</a:t>
          </a:r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US"/>
            <a:t> 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504825</xdr:colOff>
      <xdr:row>46</xdr:row>
      <xdr:rowOff>57149</xdr:rowOff>
    </xdr:from>
    <xdr:to>
      <xdr:col>10</xdr:col>
      <xdr:colOff>260350</xdr:colOff>
      <xdr:row>63</xdr:row>
      <xdr:rowOff>155574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330200</xdr:colOff>
          <xdr:row>2</xdr:row>
          <xdr:rowOff>63500</xdr:rowOff>
        </xdr:from>
        <xdr:to>
          <xdr:col>14</xdr:col>
          <xdr:colOff>698500</xdr:colOff>
          <xdr:row>4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Go To Ratings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273050</xdr:colOff>
      <xdr:row>28</xdr:row>
      <xdr:rowOff>152400</xdr:rowOff>
    </xdr:from>
    <xdr:to>
      <xdr:col>10</xdr:col>
      <xdr:colOff>482599</xdr:colOff>
      <xdr:row>30</xdr:row>
      <xdr:rowOff>95250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476625" y="5791200"/>
          <a:ext cx="4514849" cy="32385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/>
            <a:t>Enter Ratings Into</a:t>
          </a:r>
          <a:r>
            <a:rPr lang="en-US" sz="1400" baseline="0"/>
            <a:t> White Cells </a:t>
          </a:r>
          <a:r>
            <a:rPr lang="en-US" sz="1400"/>
            <a:t>Below (-3 --&gt; 3)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330200</xdr:colOff>
          <xdr:row>5</xdr:row>
          <xdr:rowOff>25400</xdr:rowOff>
        </xdr:from>
        <xdr:to>
          <xdr:col>14</xdr:col>
          <xdr:colOff>698500</xdr:colOff>
          <xdr:row>7</xdr:row>
          <xdr:rowOff>63500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Go To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330200</xdr:colOff>
          <xdr:row>27</xdr:row>
          <xdr:rowOff>101600</xdr:rowOff>
        </xdr:from>
        <xdr:to>
          <xdr:col>14</xdr:col>
          <xdr:colOff>685800</xdr:colOff>
          <xdr:row>29</xdr:row>
          <xdr:rowOff>139700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Go To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330200</xdr:colOff>
          <xdr:row>30</xdr:row>
          <xdr:rowOff>38100</xdr:rowOff>
        </xdr:from>
        <xdr:to>
          <xdr:col>14</xdr:col>
          <xdr:colOff>685800</xdr:colOff>
          <xdr:row>32</xdr:row>
          <xdr:rowOff>76200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Go To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829235</xdr:colOff>
      <xdr:row>45</xdr:row>
      <xdr:rowOff>101600</xdr:rowOff>
    </xdr:from>
    <xdr:to>
      <xdr:col>1</xdr:col>
      <xdr:colOff>685800</xdr:colOff>
      <xdr:row>47</xdr:row>
      <xdr:rowOff>25400</xdr:rowOff>
    </xdr:to>
    <xdr:sp macro="" textlink="">
      <xdr:nvSpPr>
        <xdr:cNvPr id="8" name="TextBox 6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829235" y="9301629"/>
          <a:ext cx="842683" cy="3048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050" b="1">
              <a:solidFill>
                <a:srgbClr val="FF0000"/>
              </a:solidFill>
            </a:rPr>
            <a:t>Quadrant</a:t>
          </a:r>
          <a:r>
            <a:rPr lang="en-US" sz="1050" b="1" baseline="0">
              <a:solidFill>
                <a:srgbClr val="FF0000"/>
              </a:solidFill>
            </a:rPr>
            <a:t> A</a:t>
          </a:r>
          <a:endParaRPr lang="en-US" sz="105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840441</xdr:colOff>
      <xdr:row>63</xdr:row>
      <xdr:rowOff>3175</xdr:rowOff>
    </xdr:from>
    <xdr:to>
      <xdr:col>1</xdr:col>
      <xdr:colOff>685800</xdr:colOff>
      <xdr:row>64</xdr:row>
      <xdr:rowOff>117475</xdr:rowOff>
    </xdr:to>
    <xdr:sp macro="" textlink="">
      <xdr:nvSpPr>
        <xdr:cNvPr id="9" name="TextBox 6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840441" y="12632204"/>
          <a:ext cx="831477" cy="3048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050" b="1">
              <a:solidFill>
                <a:srgbClr val="FF0000"/>
              </a:solidFill>
            </a:rPr>
            <a:t>Quadrant</a:t>
          </a:r>
          <a:r>
            <a:rPr lang="en-US" sz="1050" b="1" baseline="0">
              <a:solidFill>
                <a:srgbClr val="FF0000"/>
              </a:solidFill>
            </a:rPr>
            <a:t> D</a:t>
          </a:r>
          <a:endParaRPr lang="en-US" sz="1050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41275</xdr:colOff>
      <xdr:row>45</xdr:row>
      <xdr:rowOff>101600</xdr:rowOff>
    </xdr:from>
    <xdr:to>
      <xdr:col>11</xdr:col>
      <xdr:colOff>179294</xdr:colOff>
      <xdr:row>47</xdr:row>
      <xdr:rowOff>25400</xdr:rowOff>
    </xdr:to>
    <xdr:sp macro="" textlink="">
      <xdr:nvSpPr>
        <xdr:cNvPr id="10" name="TextBox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7538010" y="9301629"/>
          <a:ext cx="855196" cy="3048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050" b="1">
              <a:solidFill>
                <a:srgbClr val="FF0000"/>
              </a:solidFill>
            </a:rPr>
            <a:t>Quadrant</a:t>
          </a:r>
          <a:r>
            <a:rPr lang="en-US" sz="1050" b="1" baseline="0">
              <a:solidFill>
                <a:srgbClr val="FF0000"/>
              </a:solidFill>
            </a:rPr>
            <a:t> B</a:t>
          </a:r>
          <a:endParaRPr lang="en-US" sz="1050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38099</xdr:colOff>
      <xdr:row>63</xdr:row>
      <xdr:rowOff>3175</xdr:rowOff>
    </xdr:from>
    <xdr:to>
      <xdr:col>11</xdr:col>
      <xdr:colOff>145675</xdr:colOff>
      <xdr:row>64</xdr:row>
      <xdr:rowOff>117475</xdr:rowOff>
    </xdr:to>
    <xdr:sp macro="" textlink="">
      <xdr:nvSpPr>
        <xdr:cNvPr id="11" name="TextBox 6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7534834" y="12632204"/>
          <a:ext cx="824753" cy="3048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050" b="1">
              <a:solidFill>
                <a:srgbClr val="FF0000"/>
              </a:solidFill>
            </a:rPr>
            <a:t>Quadrant</a:t>
          </a:r>
          <a:r>
            <a:rPr lang="en-US" sz="1050" b="1" baseline="0">
              <a:solidFill>
                <a:srgbClr val="FF0000"/>
              </a:solidFill>
            </a:rPr>
            <a:t> C</a:t>
          </a:r>
          <a:endParaRPr lang="en-US" sz="105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907675</xdr:colOff>
      <xdr:row>66</xdr:row>
      <xdr:rowOff>89648</xdr:rowOff>
    </xdr:from>
    <xdr:to>
      <xdr:col>11</xdr:col>
      <xdr:colOff>224116</xdr:colOff>
      <xdr:row>71</xdr:row>
      <xdr:rowOff>11207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907675" y="13290177"/>
          <a:ext cx="7530353" cy="8740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Quadrant A: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Properties in this region are NOT A THREAT. They are more expensive and have lesser attributes.</a:t>
          </a:r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US"/>
            <a:t> </a:t>
          </a:r>
          <a:br>
            <a:rPr lang="en-US"/>
          </a:b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Quadrant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B: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Properties in this region MAY OR MAY NOT BE A THREAT. They are more expensive but also have better attributes.</a:t>
          </a:r>
          <a:r>
            <a:rPr lang="en-US"/>
            <a:t> </a:t>
          </a:r>
          <a:br>
            <a:rPr lang="en-US"/>
          </a:b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Quadrant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C: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Properties in this region ARE A THREAT. They are less expensive and have better attributes.</a:t>
          </a:r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US"/>
            <a:t> </a:t>
          </a:r>
          <a:br>
            <a:rPr lang="en-US"/>
          </a:b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Quadrant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D: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Properties in this region are NOT A THREAT. They are less  expensive and have lesser attributes.</a:t>
          </a:r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US"/>
            <a:t> 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330200</xdr:colOff>
          <xdr:row>46</xdr:row>
          <xdr:rowOff>76200</xdr:rowOff>
        </xdr:from>
        <xdr:to>
          <xdr:col>14</xdr:col>
          <xdr:colOff>685800</xdr:colOff>
          <xdr:row>48</xdr:row>
          <xdr:rowOff>101600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Go To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330200</xdr:colOff>
          <xdr:row>49</xdr:row>
          <xdr:rowOff>0</xdr:rowOff>
        </xdr:from>
        <xdr:to>
          <xdr:col>14</xdr:col>
          <xdr:colOff>685800</xdr:colOff>
          <xdr:row>51</xdr:row>
          <xdr:rowOff>38100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Go To Ratings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2FB13-56BB-42A9-A8B1-9FDEB4545FCB}">
  <sheetPr codeName="Sheet6"/>
  <dimension ref="A1:BC32"/>
  <sheetViews>
    <sheetView topLeftCell="N18" zoomScale="116" zoomScaleNormal="100" workbookViewId="0">
      <selection activeCell="N2" sqref="N2"/>
    </sheetView>
  </sheetViews>
  <sheetFormatPr defaultColWidth="9.125" defaultRowHeight="18"/>
  <cols>
    <col min="1" max="1" width="9.125" style="24"/>
    <col min="2" max="2" width="7.5" style="24" bestFit="1" customWidth="1"/>
    <col min="3" max="22" width="9.125" style="24"/>
    <col min="23" max="23" width="22.375" style="24" customWidth="1"/>
    <col min="24" max="55" width="9.125" style="26"/>
    <col min="56" max="16384" width="9.125" style="24"/>
  </cols>
  <sheetData>
    <row r="1" spans="1:23" ht="24.95">
      <c r="A1" s="6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7"/>
    </row>
    <row r="2" spans="1:23" ht="24.95">
      <c r="A2" s="60"/>
      <c r="B2" s="61"/>
      <c r="C2" s="61"/>
      <c r="D2" s="61"/>
      <c r="E2" s="61"/>
      <c r="F2" s="79" t="s">
        <v>0</v>
      </c>
      <c r="G2" s="79"/>
      <c r="H2" s="79"/>
      <c r="I2" s="79"/>
      <c r="J2" s="79"/>
      <c r="K2" s="79"/>
      <c r="L2" s="61"/>
      <c r="M2" s="62"/>
    </row>
    <row r="3" spans="1:23" ht="26.25" customHeight="1">
      <c r="A3" s="60"/>
      <c r="B3" s="61"/>
      <c r="C3" s="61"/>
      <c r="D3" s="61"/>
      <c r="E3" s="61"/>
      <c r="F3" s="80" t="s">
        <v>1</v>
      </c>
      <c r="G3" s="80"/>
      <c r="H3" s="80"/>
      <c r="I3" s="80"/>
      <c r="J3" s="80"/>
      <c r="K3" s="80"/>
      <c r="L3" s="61"/>
      <c r="M3" s="62"/>
      <c r="N3" s="27"/>
      <c r="O3" s="27"/>
      <c r="P3" s="27"/>
      <c r="Q3" s="27"/>
      <c r="R3" s="27"/>
      <c r="S3" s="27"/>
      <c r="T3" s="27"/>
      <c r="U3" s="27"/>
      <c r="V3" s="27"/>
      <c r="W3" s="27"/>
    </row>
    <row r="4" spans="1:23" ht="20.100000000000001">
      <c r="A4" s="63"/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5"/>
      <c r="N4" s="27"/>
      <c r="O4" s="27"/>
      <c r="P4" s="27"/>
      <c r="Q4" s="27"/>
      <c r="R4" s="27"/>
      <c r="S4" s="27"/>
      <c r="T4" s="27"/>
      <c r="U4" s="27"/>
      <c r="V4" s="27"/>
      <c r="W4" s="27"/>
    </row>
    <row r="5" spans="1:23" ht="15" customHeight="1">
      <c r="A5" s="48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50"/>
      <c r="N5" s="27"/>
      <c r="O5" s="27"/>
      <c r="P5" s="27"/>
      <c r="Q5" s="27"/>
      <c r="R5" s="27"/>
      <c r="S5" s="27"/>
      <c r="T5" s="27"/>
      <c r="U5" s="27"/>
      <c r="V5" s="27"/>
      <c r="W5" s="27"/>
    </row>
    <row r="6" spans="1:23">
      <c r="A6" s="39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40"/>
      <c r="N6" s="28"/>
      <c r="O6" s="28"/>
      <c r="P6" s="28"/>
      <c r="Q6" s="28"/>
      <c r="R6" s="28"/>
      <c r="S6" s="28"/>
      <c r="T6" s="28"/>
      <c r="U6" s="28"/>
      <c r="V6" s="28"/>
      <c r="W6" s="28"/>
    </row>
    <row r="7" spans="1:23" ht="18.95">
      <c r="A7" s="38" t="s">
        <v>2</v>
      </c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2"/>
      <c r="N7" s="28"/>
      <c r="O7" s="28"/>
      <c r="P7" s="28"/>
      <c r="Q7" s="28"/>
      <c r="R7" s="28"/>
      <c r="S7" s="28"/>
      <c r="T7" s="28"/>
      <c r="U7" s="28"/>
      <c r="V7" s="28"/>
      <c r="W7" s="28"/>
    </row>
    <row r="8" spans="1:23" ht="18.95">
      <c r="A8" s="67" t="s">
        <v>3</v>
      </c>
      <c r="B8" s="68" t="s">
        <v>4</v>
      </c>
      <c r="C8" s="53"/>
      <c r="D8" s="53"/>
      <c r="E8" s="53"/>
      <c r="F8" s="53"/>
      <c r="G8" s="53"/>
      <c r="H8" s="53"/>
      <c r="I8" s="53"/>
      <c r="J8" s="53"/>
      <c r="K8" s="53"/>
      <c r="L8" s="53"/>
      <c r="M8" s="54"/>
      <c r="N8" s="28"/>
      <c r="O8" s="28"/>
      <c r="P8" s="28"/>
      <c r="Q8" s="28"/>
      <c r="R8" s="28"/>
      <c r="S8" s="28"/>
      <c r="T8" s="28"/>
      <c r="U8" s="28"/>
      <c r="V8" s="28"/>
      <c r="W8" s="28"/>
    </row>
    <row r="9" spans="1:23">
      <c r="A9" s="73">
        <v>1</v>
      </c>
      <c r="B9" s="83" t="s">
        <v>5</v>
      </c>
      <c r="C9" s="83"/>
      <c r="D9" s="83"/>
      <c r="E9" s="83"/>
      <c r="F9" s="83"/>
      <c r="G9" s="83"/>
      <c r="H9" s="83"/>
      <c r="I9" s="83"/>
      <c r="J9" s="83"/>
      <c r="K9" s="83"/>
      <c r="L9" s="83"/>
      <c r="M9" s="84"/>
      <c r="N9" s="28"/>
      <c r="O9" s="28"/>
      <c r="P9" s="28"/>
      <c r="Q9" s="28"/>
      <c r="R9" s="28"/>
      <c r="S9" s="28"/>
      <c r="T9" s="28"/>
      <c r="U9" s="28"/>
      <c r="V9" s="28"/>
      <c r="W9" s="28"/>
    </row>
    <row r="10" spans="1:23" ht="74.45" customHeight="1">
      <c r="A10" s="73">
        <v>2</v>
      </c>
      <c r="B10" s="85" t="s">
        <v>6</v>
      </c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6"/>
      <c r="N10" s="28"/>
      <c r="O10" s="28"/>
      <c r="P10" s="28"/>
      <c r="Q10" s="28"/>
      <c r="R10" s="28"/>
      <c r="S10" s="28"/>
      <c r="T10" s="28"/>
      <c r="U10" s="28"/>
      <c r="V10" s="28"/>
      <c r="W10" s="28"/>
    </row>
    <row r="11" spans="1:23" ht="66" customHeight="1">
      <c r="A11" s="73">
        <v>3</v>
      </c>
      <c r="B11" s="85" t="s">
        <v>7</v>
      </c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6"/>
      <c r="N11" s="28"/>
      <c r="O11" s="28"/>
      <c r="P11" s="28"/>
      <c r="Q11" s="28"/>
      <c r="R11" s="28"/>
      <c r="S11" s="28"/>
      <c r="T11" s="28"/>
      <c r="U11" s="28"/>
      <c r="V11" s="28"/>
      <c r="W11" s="28"/>
    </row>
    <row r="12" spans="1:23">
      <c r="A12" s="73">
        <v>4</v>
      </c>
      <c r="B12" s="83" t="s">
        <v>8</v>
      </c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4"/>
      <c r="N12" s="28"/>
      <c r="O12" s="28"/>
      <c r="P12" s="28"/>
      <c r="Q12" s="28"/>
      <c r="R12" s="28"/>
      <c r="S12" s="28"/>
      <c r="T12" s="28"/>
      <c r="U12" s="28"/>
      <c r="V12" s="28"/>
      <c r="W12" s="28"/>
    </row>
    <row r="13" spans="1:23" ht="18" customHeight="1">
      <c r="A13" s="88"/>
      <c r="B13" s="89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6"/>
      <c r="N13" s="28"/>
      <c r="O13" s="28"/>
      <c r="P13" s="28"/>
      <c r="Q13" s="28"/>
      <c r="R13" s="28"/>
      <c r="S13" s="28"/>
      <c r="T13" s="28"/>
      <c r="U13" s="28"/>
      <c r="V13" s="28"/>
      <c r="W13" s="28"/>
    </row>
    <row r="14" spans="1:23">
      <c r="A14" s="39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40"/>
      <c r="N14" s="28"/>
      <c r="O14" s="28"/>
      <c r="P14" s="28"/>
      <c r="Q14" s="28"/>
      <c r="R14" s="28"/>
      <c r="S14" s="28"/>
      <c r="T14" s="28"/>
      <c r="U14" s="28"/>
      <c r="V14" s="28"/>
      <c r="W14" s="28"/>
    </row>
    <row r="15" spans="1:23">
      <c r="A15" s="39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40"/>
      <c r="N15" s="28"/>
      <c r="O15" s="28"/>
      <c r="P15" s="28"/>
      <c r="Q15" s="28"/>
      <c r="R15" s="28"/>
      <c r="S15" s="28"/>
      <c r="T15" s="28"/>
      <c r="U15" s="28"/>
      <c r="V15" s="28"/>
      <c r="W15" s="28"/>
    </row>
    <row r="16" spans="1:23" ht="18.95">
      <c r="A16" s="38" t="s">
        <v>9</v>
      </c>
      <c r="B16" s="51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6"/>
      <c r="N16" s="28"/>
      <c r="O16" s="28"/>
      <c r="P16" s="28"/>
      <c r="Q16" s="28"/>
      <c r="R16" s="28"/>
      <c r="S16" s="28"/>
      <c r="T16" s="28"/>
      <c r="U16" s="28"/>
      <c r="V16" s="28"/>
      <c r="W16" s="28"/>
    </row>
    <row r="17" spans="1:23">
      <c r="A17" s="67" t="s">
        <v>3</v>
      </c>
      <c r="B17" s="68" t="s">
        <v>4</v>
      </c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6"/>
      <c r="N17" s="28"/>
      <c r="O17" s="28"/>
      <c r="P17" s="28"/>
      <c r="Q17" s="28"/>
      <c r="R17" s="28"/>
      <c r="S17" s="28"/>
      <c r="T17" s="28"/>
      <c r="U17" s="28"/>
      <c r="V17" s="28"/>
      <c r="W17" s="28"/>
    </row>
    <row r="18" spans="1:23" ht="73.5" customHeight="1">
      <c r="A18" s="73">
        <v>1</v>
      </c>
      <c r="B18" s="85" t="s">
        <v>10</v>
      </c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6"/>
      <c r="N18" s="28"/>
      <c r="O18" s="28"/>
      <c r="P18" s="28"/>
      <c r="Q18" s="28"/>
      <c r="R18" s="28"/>
      <c r="S18" s="28"/>
      <c r="T18" s="28"/>
      <c r="U18" s="28"/>
      <c r="V18" s="28"/>
      <c r="W18" s="28"/>
    </row>
    <row r="19" spans="1:23" ht="41.25" customHeight="1">
      <c r="A19" s="73">
        <v>2</v>
      </c>
      <c r="B19" s="85" t="s">
        <v>11</v>
      </c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6"/>
      <c r="N19" s="28"/>
      <c r="O19" s="28"/>
      <c r="P19" s="28"/>
      <c r="Q19" s="28"/>
      <c r="R19" s="28"/>
      <c r="S19" s="28"/>
      <c r="T19" s="28"/>
      <c r="U19" s="28"/>
      <c r="V19" s="28"/>
      <c r="W19" s="28"/>
    </row>
    <row r="20" spans="1:23">
      <c r="A20" s="73">
        <v>3</v>
      </c>
      <c r="B20" s="83" t="s">
        <v>12</v>
      </c>
      <c r="C20" s="83"/>
      <c r="D20" s="83"/>
      <c r="E20" s="83"/>
      <c r="F20" s="83"/>
      <c r="G20" s="83"/>
      <c r="H20" s="83"/>
      <c r="I20" s="83"/>
      <c r="J20" s="83"/>
      <c r="K20" s="83"/>
      <c r="L20" s="83"/>
      <c r="M20" s="84"/>
      <c r="N20" s="28"/>
      <c r="O20" s="28"/>
      <c r="P20" s="28"/>
      <c r="Q20" s="28"/>
      <c r="R20" s="28"/>
      <c r="S20" s="28"/>
      <c r="T20" s="28"/>
      <c r="U20" s="28"/>
      <c r="V20" s="28"/>
      <c r="W20" s="28"/>
    </row>
    <row r="21" spans="1:23" ht="33" customHeight="1">
      <c r="A21" s="88"/>
      <c r="B21" s="89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40"/>
      <c r="N21" s="28"/>
      <c r="O21" s="28"/>
      <c r="P21" s="28"/>
      <c r="Q21" s="28"/>
      <c r="R21" s="28"/>
      <c r="S21" s="28"/>
      <c r="T21" s="28"/>
      <c r="U21" s="28"/>
      <c r="V21" s="28"/>
      <c r="W21" s="28"/>
    </row>
    <row r="22" spans="1:23" ht="30.75" customHeight="1">
      <c r="A22" s="39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40"/>
      <c r="N22" s="28"/>
      <c r="O22" s="28"/>
      <c r="P22" s="28"/>
      <c r="Q22" s="28"/>
      <c r="R22" s="28"/>
      <c r="S22" s="28"/>
      <c r="T22" s="28"/>
      <c r="U22" s="28"/>
      <c r="V22" s="28"/>
      <c r="W22" s="28"/>
    </row>
    <row r="23" spans="1:23" ht="18.95">
      <c r="A23" s="38" t="s">
        <v>13</v>
      </c>
      <c r="B23" s="51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6"/>
      <c r="N23" s="28"/>
      <c r="O23" s="28"/>
      <c r="P23" s="28"/>
      <c r="Q23" s="28"/>
      <c r="R23" s="28"/>
      <c r="S23" s="28"/>
      <c r="T23" s="28"/>
      <c r="U23" s="28"/>
      <c r="V23" s="28"/>
      <c r="W23" s="28"/>
    </row>
    <row r="24" spans="1:23" ht="35.25" customHeight="1">
      <c r="A24" s="87" t="s">
        <v>14</v>
      </c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6"/>
      <c r="N24" s="28"/>
      <c r="O24" s="28"/>
      <c r="P24" s="28"/>
      <c r="Q24" s="28"/>
      <c r="R24" s="28"/>
      <c r="S24" s="28"/>
      <c r="T24" s="28"/>
      <c r="U24" s="28"/>
      <c r="V24" s="28"/>
      <c r="W24" s="28"/>
    </row>
    <row r="25" spans="1:23" ht="35.25" customHeight="1">
      <c r="A25" s="87" t="s">
        <v>15</v>
      </c>
      <c r="B25" s="85"/>
      <c r="C25" s="85"/>
      <c r="D25" s="85"/>
      <c r="E25" s="85"/>
      <c r="F25" s="85"/>
      <c r="G25" s="85"/>
      <c r="H25" s="85"/>
      <c r="I25" s="85"/>
      <c r="J25" s="85"/>
      <c r="K25" s="71"/>
      <c r="L25" s="71"/>
      <c r="M25" s="72"/>
      <c r="N25" s="28"/>
      <c r="O25" s="28"/>
      <c r="P25" s="28"/>
      <c r="Q25" s="28"/>
      <c r="R25" s="28"/>
      <c r="S25" s="28"/>
      <c r="T25" s="28"/>
      <c r="U25" s="28"/>
      <c r="V25" s="28"/>
      <c r="W25" s="28"/>
    </row>
    <row r="26" spans="1:23" ht="24">
      <c r="A26" s="81"/>
      <c r="B26" s="82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8"/>
      <c r="N26" s="28"/>
      <c r="O26" s="28"/>
      <c r="P26" s="28"/>
      <c r="Q26" s="28"/>
      <c r="R26" s="28"/>
      <c r="S26" s="28"/>
      <c r="T26" s="28"/>
      <c r="U26" s="28"/>
      <c r="V26" s="28"/>
      <c r="W26" s="28"/>
    </row>
    <row r="27" spans="1:23">
      <c r="A27" s="42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41"/>
      <c r="N27" s="28"/>
      <c r="O27" s="28"/>
      <c r="P27" s="28"/>
      <c r="Q27" s="28"/>
      <c r="R27" s="28"/>
      <c r="S27" s="28"/>
      <c r="T27" s="28"/>
      <c r="U27" s="28"/>
      <c r="V27" s="28"/>
      <c r="W27" s="28"/>
    </row>
    <row r="28" spans="1:23">
      <c r="A28" s="42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41"/>
      <c r="N28" s="28"/>
      <c r="O28" s="28"/>
      <c r="P28" s="28"/>
      <c r="Q28" s="28"/>
      <c r="R28" s="28"/>
      <c r="S28" s="28"/>
      <c r="T28" s="28"/>
      <c r="U28" s="28"/>
      <c r="V28" s="28"/>
      <c r="W28" s="28"/>
    </row>
    <row r="29" spans="1:23">
      <c r="A29" s="42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41"/>
      <c r="N29" s="28"/>
      <c r="O29" s="28"/>
      <c r="P29" s="28"/>
      <c r="Q29" s="28"/>
      <c r="R29" s="28"/>
      <c r="S29" s="28"/>
      <c r="T29" s="28"/>
      <c r="U29" s="28"/>
      <c r="V29" s="28"/>
      <c r="W29" s="28"/>
    </row>
    <row r="30" spans="1:23" ht="15" customHeight="1">
      <c r="A30" s="42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41"/>
    </row>
    <row r="31" spans="1:23">
      <c r="A31" s="42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41"/>
    </row>
    <row r="32" spans="1:23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5"/>
    </row>
  </sheetData>
  <sheetProtection algorithmName="SHA-512" hashValue="/F9jXYetRqJ/GW5don6X32tSLNvpShIkvg3v3DvFCX7j1wmha+EdmZ/u6nwJ68Ib+gW1F20fv2LerDUvv+DbdA==" saltValue="/aq4DmvOgPz71mBggspMkQ==" spinCount="100000" sheet="1" objects="1" scenarios="1" selectLockedCells="1" selectUnlockedCells="1"/>
  <mergeCells count="14">
    <mergeCell ref="F2:K2"/>
    <mergeCell ref="F3:K3"/>
    <mergeCell ref="A26:B26"/>
    <mergeCell ref="B12:M12"/>
    <mergeCell ref="B9:M9"/>
    <mergeCell ref="B10:M10"/>
    <mergeCell ref="B11:M11"/>
    <mergeCell ref="A24:M24"/>
    <mergeCell ref="A25:J25"/>
    <mergeCell ref="A13:B13"/>
    <mergeCell ref="A21:B21"/>
    <mergeCell ref="B18:M18"/>
    <mergeCell ref="B19:M19"/>
    <mergeCell ref="B20:M20"/>
  </mergeCells>
  <phoneticPr fontId="41"/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FBAB9-97F9-4946-A921-E5FC1A115B6A}">
  <sheetPr codeName="Sheet4">
    <pageSetUpPr fitToPage="1"/>
  </sheetPr>
  <dimension ref="A1:AG102"/>
  <sheetViews>
    <sheetView tabSelected="1" topLeftCell="A28" zoomScale="111" zoomScaleNormal="85" workbookViewId="0">
      <selection activeCell="J40" sqref="J40"/>
    </sheetView>
  </sheetViews>
  <sheetFormatPr defaultColWidth="8.625" defaultRowHeight="18"/>
  <cols>
    <col min="1" max="1" width="14.875" style="1" bestFit="1" customWidth="1"/>
    <col min="2" max="2" width="11.5" style="1" bestFit="1" customWidth="1"/>
    <col min="3" max="11" width="10.625" style="1" customWidth="1"/>
    <col min="12" max="12" width="15" style="1" bestFit="1" customWidth="1"/>
    <col min="13" max="16" width="10.625" style="1" customWidth="1"/>
    <col min="17" max="17" width="10.625" style="1" hidden="1" customWidth="1"/>
    <col min="18" max="20" width="16.125" style="1" hidden="1" customWidth="1"/>
    <col min="21" max="21" width="18.5" style="1" hidden="1" customWidth="1"/>
    <col min="22" max="22" width="15.5" style="1" hidden="1" customWidth="1"/>
    <col min="23" max="24" width="32.375" style="1" hidden="1" customWidth="1"/>
    <col min="25" max="25" width="7.5" style="1" hidden="1" customWidth="1"/>
    <col min="26" max="26" width="6.5" style="1" hidden="1" customWidth="1"/>
    <col min="27" max="27" width="14.5" style="1" hidden="1" customWidth="1"/>
    <col min="28" max="28" width="2.125" style="1" hidden="1" customWidth="1"/>
    <col min="29" max="30" width="0" style="1" hidden="1" customWidth="1"/>
    <col min="31" max="31" width="5.125" style="1" hidden="1" customWidth="1"/>
    <col min="32" max="32" width="0" style="1" hidden="1" customWidth="1"/>
    <col min="33" max="33" width="2.125" style="1" hidden="1" customWidth="1"/>
    <col min="34" max="35" width="0" style="1" hidden="1" customWidth="1"/>
    <col min="36" max="16384" width="8.625" style="1"/>
  </cols>
  <sheetData>
    <row r="1" spans="1:31" ht="24">
      <c r="A1" s="92" t="s">
        <v>16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U1" s="1">
        <f>IF(U3="",1,0)</f>
        <v>0</v>
      </c>
      <c r="V1" s="1">
        <f t="shared" ref="V1:AA1" si="0">IF(V3="",1,0)</f>
        <v>0</v>
      </c>
      <c r="W1" s="1">
        <f t="shared" si="0"/>
        <v>0</v>
      </c>
      <c r="X1" s="1">
        <f t="shared" si="0"/>
        <v>0</v>
      </c>
      <c r="Y1" s="1">
        <f t="shared" si="0"/>
        <v>0</v>
      </c>
      <c r="Z1" s="1">
        <f t="shared" si="0"/>
        <v>0</v>
      </c>
      <c r="AA1" s="1">
        <f t="shared" si="0"/>
        <v>0</v>
      </c>
    </row>
    <row r="2" spans="1:31">
      <c r="U2" s="11" t="s">
        <v>17</v>
      </c>
      <c r="V2" s="12"/>
      <c r="W2" s="12"/>
      <c r="X2" s="12"/>
      <c r="Y2" s="12"/>
      <c r="Z2" s="12"/>
      <c r="AA2" s="13"/>
    </row>
    <row r="3" spans="1:31" ht="15.75" customHeight="1">
      <c r="A3" s="96" t="s">
        <v>18</v>
      </c>
      <c r="B3" s="97"/>
      <c r="C3" s="97"/>
      <c r="D3" s="98"/>
      <c r="U3" s="14" t="str">
        <f t="shared" ref="U3:AA4" si="1">+E35</f>
        <v>Conference/event facilities</v>
      </c>
      <c r="V3" s="14" t="str">
        <f t="shared" si="1"/>
        <v xml:space="preserve">Location (accessibilities to events area)	</v>
      </c>
      <c r="W3" s="14" t="str">
        <f t="shared" si="1"/>
        <v>Staff/service quality</v>
      </c>
      <c r="X3" s="14" t="str">
        <f t="shared" si="1"/>
        <v>Breakfast (buffet)</v>
      </c>
      <c r="Y3" s="14" t="str">
        <f t="shared" si="1"/>
        <v xml:space="preserve">Loyalty program(Lounge Club, discount)	</v>
      </c>
      <c r="Z3" s="14" t="str">
        <f t="shared" si="1"/>
        <v>Room amenities (toiletries, branded amenities)</v>
      </c>
      <c r="AA3" s="14" t="str">
        <f t="shared" si="1"/>
        <v xml:space="preserve">Speed of wifi </v>
      </c>
      <c r="AE3" s="7">
        <f>7-COUNTBLANK(E36:K36)</f>
        <v>7</v>
      </c>
    </row>
    <row r="4" spans="1:31" ht="15" customHeight="1">
      <c r="U4" s="14">
        <f t="shared" si="1"/>
        <v>0.3</v>
      </c>
      <c r="V4" s="14">
        <f t="shared" si="1"/>
        <v>0.2</v>
      </c>
      <c r="W4" s="14">
        <f t="shared" si="1"/>
        <v>0.15</v>
      </c>
      <c r="X4" s="14">
        <f t="shared" si="1"/>
        <v>0.1</v>
      </c>
      <c r="Y4" s="14">
        <f t="shared" si="1"/>
        <v>0.1</v>
      </c>
      <c r="Z4" s="14">
        <f t="shared" si="1"/>
        <v>0.1</v>
      </c>
      <c r="AA4" s="14">
        <f t="shared" si="1"/>
        <v>0.05</v>
      </c>
    </row>
    <row r="5" spans="1:31" ht="15" customHeight="1">
      <c r="A5" s="77" t="s">
        <v>19</v>
      </c>
      <c r="B5" s="113" t="s">
        <v>20</v>
      </c>
      <c r="C5" s="114"/>
      <c r="D5" s="115"/>
      <c r="T5" s="6" t="str">
        <f t="shared" ref="T5:T11" si="2">+A37</f>
        <v>Crown Sydney(Higher)</v>
      </c>
      <c r="U5" s="10">
        <v>3</v>
      </c>
      <c r="V5" s="10">
        <v>2</v>
      </c>
      <c r="W5" s="10">
        <v>2</v>
      </c>
      <c r="X5" s="10">
        <v>2</v>
      </c>
      <c r="Y5" s="10"/>
      <c r="Z5" s="10"/>
      <c r="AA5" s="10">
        <v>2</v>
      </c>
      <c r="AB5" s="1">
        <f>IF(T5="",1,0)</f>
        <v>0</v>
      </c>
    </row>
    <row r="6" spans="1:31" ht="15" customHeight="1">
      <c r="A6" s="77" t="s">
        <v>21</v>
      </c>
      <c r="B6" s="113" t="s">
        <v>22</v>
      </c>
      <c r="C6" s="114"/>
      <c r="D6" s="115"/>
      <c r="T6" s="6" t="str">
        <f t="shared" si="2"/>
        <v>Sofitel Daring Harbour</v>
      </c>
      <c r="U6" s="10">
        <v>1</v>
      </c>
      <c r="V6" s="10">
        <v>2</v>
      </c>
      <c r="W6" s="10">
        <v>2</v>
      </c>
      <c r="X6" s="10">
        <v>2</v>
      </c>
      <c r="Y6" s="10">
        <v>2</v>
      </c>
      <c r="Z6" s="10">
        <v>2</v>
      </c>
      <c r="AA6" s="10"/>
      <c r="AB6" s="1">
        <f t="shared" ref="AB6:AB11" si="3">IF(T6="",1,0)</f>
        <v>0</v>
      </c>
    </row>
    <row r="7" spans="1:31" ht="15" customHeight="1">
      <c r="A7" s="77" t="s">
        <v>23</v>
      </c>
      <c r="B7" s="74" t="s">
        <v>24</v>
      </c>
      <c r="C7" s="75"/>
      <c r="D7" s="76"/>
      <c r="T7" s="6" t="str">
        <f t="shared" si="2"/>
        <v>QT Sydney</v>
      </c>
      <c r="U7" s="10">
        <v>1</v>
      </c>
      <c r="V7" s="10">
        <v>1</v>
      </c>
      <c r="W7" s="10">
        <v>1</v>
      </c>
      <c r="X7" s="10">
        <v>1</v>
      </c>
      <c r="Y7" s="10">
        <v>1</v>
      </c>
      <c r="Z7" s="10">
        <v>1</v>
      </c>
      <c r="AA7" s="10">
        <f>2</f>
        <v>2</v>
      </c>
      <c r="AB7" s="1">
        <f t="shared" si="3"/>
        <v>0</v>
      </c>
      <c r="AE7" s="7">
        <f>COUNTBLANK(V7:AB7)</f>
        <v>0</v>
      </c>
    </row>
    <row r="8" spans="1:31">
      <c r="A8" s="77" t="s">
        <v>25</v>
      </c>
      <c r="B8" s="69">
        <v>399</v>
      </c>
      <c r="C8" s="75"/>
      <c r="D8" s="76"/>
      <c r="T8" s="6" t="str">
        <f t="shared" si="2"/>
        <v>Paradox Sydney</v>
      </c>
      <c r="U8" s="10">
        <v>0.5</v>
      </c>
      <c r="V8" s="10">
        <v>0.5</v>
      </c>
      <c r="W8" s="10"/>
      <c r="X8" s="10">
        <v>0.5</v>
      </c>
      <c r="Y8" s="10">
        <v>0.5</v>
      </c>
      <c r="Z8" s="10">
        <v>0.5</v>
      </c>
      <c r="AA8" s="10"/>
      <c r="AB8" s="1">
        <f t="shared" si="3"/>
        <v>0</v>
      </c>
    </row>
    <row r="9" spans="1:31">
      <c r="N9" s="91" t="s">
        <v>26</v>
      </c>
      <c r="O9" s="91"/>
      <c r="T9" s="6" t="str">
        <f t="shared" si="2"/>
        <v>Swissotel</v>
      </c>
      <c r="U9" s="10">
        <v>-1</v>
      </c>
      <c r="V9" s="10">
        <v>-1</v>
      </c>
      <c r="W9" s="10">
        <v>2</v>
      </c>
      <c r="X9" s="10">
        <v>-1</v>
      </c>
      <c r="Y9" s="10">
        <v>-1</v>
      </c>
      <c r="Z9" s="10">
        <v>-1</v>
      </c>
      <c r="AA9" s="10">
        <v>-1</v>
      </c>
      <c r="AB9" s="1">
        <f t="shared" si="3"/>
        <v>0</v>
      </c>
    </row>
    <row r="10" spans="1:31">
      <c r="T10" s="6" t="str">
        <f t="shared" si="2"/>
        <v>Pullman Sydney Hyde Park(Lower)</v>
      </c>
      <c r="U10" s="10">
        <v>-2</v>
      </c>
      <c r="V10" s="10">
        <v>-2</v>
      </c>
      <c r="W10" s="10">
        <v>2</v>
      </c>
      <c r="X10" s="10">
        <v>-2</v>
      </c>
      <c r="Y10" s="10">
        <v>-2</v>
      </c>
      <c r="Z10" s="10">
        <v>-2</v>
      </c>
      <c r="AA10" s="10">
        <v>-2</v>
      </c>
      <c r="AB10" s="1">
        <f t="shared" si="3"/>
        <v>0</v>
      </c>
    </row>
    <row r="11" spans="1:31">
      <c r="A11" s="96" t="s">
        <v>27</v>
      </c>
      <c r="B11" s="97"/>
      <c r="C11" s="97"/>
      <c r="D11" s="97"/>
      <c r="E11" s="97"/>
      <c r="F11" s="98"/>
      <c r="H11" s="112" t="s">
        <v>28</v>
      </c>
      <c r="I11" s="112"/>
      <c r="J11" s="112"/>
      <c r="K11" s="112"/>
      <c r="L11" s="112"/>
      <c r="M11" s="112"/>
      <c r="T11" s="6" t="str">
        <f t="shared" si="2"/>
        <v/>
      </c>
      <c r="U11" s="10">
        <v>-3</v>
      </c>
      <c r="V11" s="10">
        <v>-3</v>
      </c>
      <c r="W11" s="10">
        <v>-3</v>
      </c>
      <c r="X11" s="10">
        <v>-3</v>
      </c>
      <c r="Y11" s="10">
        <v>-3</v>
      </c>
      <c r="Z11" s="10">
        <v>-3</v>
      </c>
      <c r="AA11" s="10">
        <v>-3</v>
      </c>
      <c r="AB11" s="1">
        <f t="shared" si="3"/>
        <v>1</v>
      </c>
    </row>
    <row r="13" spans="1:31" ht="38.1">
      <c r="B13" s="106" t="s">
        <v>29</v>
      </c>
      <c r="C13" s="107"/>
      <c r="D13" s="108"/>
      <c r="E13" s="19" t="s">
        <v>30</v>
      </c>
      <c r="F13" s="19" t="s">
        <v>31</v>
      </c>
      <c r="G13" s="20"/>
      <c r="H13" s="20"/>
      <c r="I13" s="109" t="s">
        <v>32</v>
      </c>
      <c r="J13" s="110"/>
      <c r="K13" s="110"/>
      <c r="L13" s="111"/>
      <c r="M13" s="21" t="s">
        <v>33</v>
      </c>
      <c r="T13" s="32" t="s">
        <v>34</v>
      </c>
      <c r="U13" s="32" t="s">
        <v>35</v>
      </c>
      <c r="V13" s="32" t="s">
        <v>36</v>
      </c>
    </row>
    <row r="14" spans="1:31">
      <c r="A14" s="4" t="s">
        <v>37</v>
      </c>
      <c r="B14" s="99" t="s">
        <v>38</v>
      </c>
      <c r="C14" s="100"/>
      <c r="D14" s="100"/>
      <c r="E14" s="29">
        <v>349</v>
      </c>
      <c r="F14" s="70">
        <v>809</v>
      </c>
      <c r="H14" s="3" t="s">
        <v>39</v>
      </c>
      <c r="I14" s="99" t="s">
        <v>40</v>
      </c>
      <c r="J14" s="100"/>
      <c r="K14" s="100"/>
      <c r="L14" s="101"/>
      <c r="M14" s="30">
        <v>0.3</v>
      </c>
      <c r="T14" s="2">
        <f t="shared" ref="T14:T20" si="4">IF(AND(B14&lt;&gt;"",F14=""),1,0)</f>
        <v>0</v>
      </c>
      <c r="U14" s="2">
        <f t="shared" ref="U14:U20" si="5">IF(ISBLANK(I14),1,0)</f>
        <v>0</v>
      </c>
      <c r="V14" s="2">
        <f t="shared" ref="V14:V20" si="6">IF(AND(U14=0,M14=0),1,0)</f>
        <v>0</v>
      </c>
    </row>
    <row r="15" spans="1:31">
      <c r="A15" s="4" t="s">
        <v>41</v>
      </c>
      <c r="B15" s="99" t="s">
        <v>42</v>
      </c>
      <c r="C15" s="100"/>
      <c r="D15" s="100"/>
      <c r="E15" s="29">
        <v>590</v>
      </c>
      <c r="F15" s="70">
        <v>452</v>
      </c>
      <c r="H15" s="3" t="s">
        <v>43</v>
      </c>
      <c r="I15" s="99" t="s">
        <v>44</v>
      </c>
      <c r="J15" s="100"/>
      <c r="K15" s="100"/>
      <c r="L15" s="101"/>
      <c r="M15" s="30">
        <v>0.2</v>
      </c>
      <c r="T15" s="2">
        <f t="shared" si="4"/>
        <v>0</v>
      </c>
      <c r="U15" s="2">
        <f t="shared" si="5"/>
        <v>0</v>
      </c>
      <c r="V15" s="2">
        <f t="shared" si="6"/>
        <v>0</v>
      </c>
    </row>
    <row r="16" spans="1:31">
      <c r="A16" s="4" t="s">
        <v>45</v>
      </c>
      <c r="B16" s="99" t="s">
        <v>46</v>
      </c>
      <c r="C16" s="100"/>
      <c r="D16" s="100"/>
      <c r="E16" s="29">
        <v>198</v>
      </c>
      <c r="F16" s="70">
        <v>409</v>
      </c>
      <c r="H16" s="3" t="s">
        <v>47</v>
      </c>
      <c r="I16" s="99" t="s">
        <v>48</v>
      </c>
      <c r="J16" s="100"/>
      <c r="K16" s="100"/>
      <c r="L16" s="101"/>
      <c r="M16" s="30">
        <v>0.15</v>
      </c>
      <c r="T16" s="2">
        <f t="shared" si="4"/>
        <v>0</v>
      </c>
      <c r="U16" s="2">
        <f t="shared" si="5"/>
        <v>0</v>
      </c>
      <c r="V16" s="2">
        <f t="shared" si="6"/>
        <v>0</v>
      </c>
    </row>
    <row r="17" spans="1:23">
      <c r="A17" s="4" t="s">
        <v>49</v>
      </c>
      <c r="B17" s="99" t="s">
        <v>50</v>
      </c>
      <c r="C17" s="100"/>
      <c r="D17" s="100"/>
      <c r="E17" s="29">
        <v>364</v>
      </c>
      <c r="F17" s="70">
        <v>514</v>
      </c>
      <c r="H17" s="3" t="s">
        <v>51</v>
      </c>
      <c r="I17" s="99" t="s">
        <v>52</v>
      </c>
      <c r="J17" s="100"/>
      <c r="K17" s="100"/>
      <c r="L17" s="101"/>
      <c r="M17" s="30">
        <v>0.1</v>
      </c>
      <c r="T17" s="2">
        <f t="shared" si="4"/>
        <v>0</v>
      </c>
      <c r="U17" s="2">
        <f t="shared" si="5"/>
        <v>0</v>
      </c>
      <c r="V17" s="2">
        <f t="shared" si="6"/>
        <v>0</v>
      </c>
    </row>
    <row r="18" spans="1:23">
      <c r="A18" s="4" t="s">
        <v>53</v>
      </c>
      <c r="B18" s="99" t="s">
        <v>54</v>
      </c>
      <c r="C18" s="100"/>
      <c r="D18" s="100"/>
      <c r="E18" s="29">
        <v>369</v>
      </c>
      <c r="F18" s="70">
        <v>419</v>
      </c>
      <c r="H18" s="3" t="s">
        <v>55</v>
      </c>
      <c r="I18" s="99" t="s">
        <v>56</v>
      </c>
      <c r="J18" s="100"/>
      <c r="K18" s="100"/>
      <c r="L18" s="101"/>
      <c r="M18" s="30">
        <v>0.1</v>
      </c>
      <c r="T18" s="2">
        <f t="shared" si="4"/>
        <v>0</v>
      </c>
      <c r="U18" s="2">
        <f t="shared" si="5"/>
        <v>0</v>
      </c>
      <c r="V18" s="2">
        <f t="shared" si="6"/>
        <v>0</v>
      </c>
    </row>
    <row r="19" spans="1:23">
      <c r="A19" s="4" t="s">
        <v>57</v>
      </c>
      <c r="B19" s="99" t="s">
        <v>58</v>
      </c>
      <c r="C19" s="100"/>
      <c r="D19" s="100"/>
      <c r="E19" s="29">
        <v>241</v>
      </c>
      <c r="F19" s="70">
        <v>263</v>
      </c>
      <c r="H19" s="3" t="s">
        <v>59</v>
      </c>
      <c r="I19" s="99" t="s">
        <v>60</v>
      </c>
      <c r="J19" s="100"/>
      <c r="K19" s="100"/>
      <c r="L19" s="101"/>
      <c r="M19" s="30">
        <v>0.1</v>
      </c>
      <c r="T19" s="2">
        <f t="shared" si="4"/>
        <v>0</v>
      </c>
      <c r="U19" s="2">
        <f t="shared" si="5"/>
        <v>0</v>
      </c>
      <c r="V19" s="2">
        <f t="shared" si="6"/>
        <v>0</v>
      </c>
    </row>
    <row r="20" spans="1:23">
      <c r="A20" s="4" t="s">
        <v>61</v>
      </c>
      <c r="B20" s="99"/>
      <c r="C20" s="100"/>
      <c r="D20" s="100"/>
      <c r="E20" s="29"/>
      <c r="F20" s="29"/>
      <c r="H20" s="3" t="s">
        <v>62</v>
      </c>
      <c r="I20" s="99" t="s">
        <v>63</v>
      </c>
      <c r="J20" s="100"/>
      <c r="K20" s="100"/>
      <c r="L20" s="101"/>
      <c r="M20" s="30">
        <v>0.05</v>
      </c>
      <c r="T20" s="2">
        <f t="shared" si="4"/>
        <v>0</v>
      </c>
      <c r="U20" s="2">
        <f t="shared" si="5"/>
        <v>0</v>
      </c>
      <c r="V20" s="2">
        <f t="shared" si="6"/>
        <v>0</v>
      </c>
    </row>
    <row r="21" spans="1:23">
      <c r="I21" s="102" t="s">
        <v>64</v>
      </c>
      <c r="J21" s="102"/>
      <c r="K21" s="102"/>
      <c r="L21" s="102"/>
      <c r="M21" s="18">
        <f>SUM(E36:K36)</f>
        <v>1</v>
      </c>
    </row>
    <row r="22" spans="1:23">
      <c r="F22" s="15" t="str">
        <f>IF(SUM(T14:T20)&gt;0,"Fill in rates for competitors in red","")</f>
        <v/>
      </c>
      <c r="M22" s="15" t="str">
        <f>IF(SUM(E36:K36)=1,"","Total must equal 100%")</f>
        <v/>
      </c>
    </row>
    <row r="23" spans="1:23">
      <c r="M23" s="15" t="str">
        <f>IF(SUM(U14:U20)&gt;0,"Delete values in red","")</f>
        <v/>
      </c>
    </row>
    <row r="24" spans="1:23">
      <c r="M24" s="15" t="str">
        <f>IF(SUM(V14:V20)&gt;0,"Add weights for attributes in red","")</f>
        <v/>
      </c>
    </row>
    <row r="26" spans="1:23" ht="24">
      <c r="A26" s="92" t="s">
        <v>65</v>
      </c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T26" s="1" t="s">
        <v>66</v>
      </c>
      <c r="U26" s="1" t="s">
        <v>67</v>
      </c>
    </row>
    <row r="27" spans="1:23" ht="18.95">
      <c r="T27" s="32" t="s">
        <v>68</v>
      </c>
      <c r="U27" s="32" t="s">
        <v>69</v>
      </c>
      <c r="V27" s="32" t="s">
        <v>70</v>
      </c>
      <c r="W27" s="32" t="s">
        <v>71</v>
      </c>
    </row>
    <row r="28" spans="1:23">
      <c r="A28" s="59" t="s">
        <v>72</v>
      </c>
      <c r="B28" s="103" t="str">
        <f>IF(B5="","",B5)</f>
        <v>Hyatt Regency</v>
      </c>
      <c r="C28" s="104"/>
      <c r="D28" s="105"/>
      <c r="T28" s="33">
        <v>0</v>
      </c>
      <c r="U28" s="33">
        <v>0</v>
      </c>
      <c r="V28" s="2" t="str">
        <f t="shared" ref="V28:V34" si="7">CONCATENATE(T28,U28,)</f>
        <v>00</v>
      </c>
      <c r="W28" s="34"/>
    </row>
    <row r="29" spans="1:23">
      <c r="A29" s="59" t="s">
        <v>21</v>
      </c>
      <c r="B29" s="103" t="str">
        <f>IF(B6="","",B6)</f>
        <v>Business traveller</v>
      </c>
      <c r="C29" s="104"/>
      <c r="D29" s="105"/>
      <c r="T29" s="33">
        <v>0</v>
      </c>
      <c r="U29" s="33">
        <v>0</v>
      </c>
      <c r="V29" s="2" t="str">
        <f t="shared" si="7"/>
        <v>00</v>
      </c>
      <c r="W29" s="34" t="s">
        <v>73</v>
      </c>
    </row>
    <row r="30" spans="1:23">
      <c r="A30" s="59" t="s">
        <v>23</v>
      </c>
      <c r="B30" s="103" t="str">
        <f t="shared" ref="B30:B31" si="8">IF(B7="","",B7)</f>
        <v>1 King bed</v>
      </c>
      <c r="C30" s="104"/>
      <c r="D30" s="105"/>
      <c r="I30" s="6"/>
      <c r="T30" s="33">
        <v>0</v>
      </c>
      <c r="U30" s="33">
        <v>1</v>
      </c>
      <c r="V30" s="2" t="str">
        <f t="shared" si="7"/>
        <v>01</v>
      </c>
      <c r="W30" s="34" t="s">
        <v>74</v>
      </c>
    </row>
    <row r="31" spans="1:23">
      <c r="A31" s="59" t="s">
        <v>75</v>
      </c>
      <c r="B31" s="103">
        <f t="shared" si="8"/>
        <v>399</v>
      </c>
      <c r="C31" s="104"/>
      <c r="D31" s="105"/>
      <c r="T31" s="33">
        <v>0</v>
      </c>
      <c r="U31" s="33">
        <v>1</v>
      </c>
      <c r="V31" s="2" t="str">
        <f t="shared" si="7"/>
        <v>01</v>
      </c>
      <c r="W31" s="34" t="s">
        <v>74</v>
      </c>
    </row>
    <row r="32" spans="1:23">
      <c r="T32" s="33">
        <v>1</v>
      </c>
      <c r="U32" s="33">
        <v>0</v>
      </c>
      <c r="V32" s="2" t="str">
        <f t="shared" si="7"/>
        <v>10</v>
      </c>
      <c r="W32" s="34"/>
    </row>
    <row r="33" spans="1:33">
      <c r="T33" s="33">
        <v>1</v>
      </c>
      <c r="U33" s="33">
        <v>0</v>
      </c>
      <c r="V33" s="2" t="str">
        <f t="shared" si="7"/>
        <v>10</v>
      </c>
      <c r="W33" s="34" t="s">
        <v>73</v>
      </c>
    </row>
    <row r="34" spans="1:33">
      <c r="E34" s="96" t="s">
        <v>17</v>
      </c>
      <c r="F34" s="97"/>
      <c r="G34" s="97"/>
      <c r="H34" s="97"/>
      <c r="I34" s="97"/>
      <c r="J34" s="97"/>
      <c r="K34" s="98"/>
      <c r="N34" s="91" t="s">
        <v>26</v>
      </c>
      <c r="O34" s="91"/>
      <c r="T34" s="33">
        <v>1</v>
      </c>
      <c r="U34" s="33">
        <v>1</v>
      </c>
      <c r="V34" s="2" t="str">
        <f t="shared" si="7"/>
        <v>11</v>
      </c>
      <c r="W34" s="34"/>
    </row>
    <row r="35" spans="1:33" ht="32.450000000000003" customHeight="1">
      <c r="A35" s="93" t="s">
        <v>76</v>
      </c>
      <c r="B35" s="93"/>
      <c r="C35" s="94" t="s">
        <v>30</v>
      </c>
      <c r="D35" s="94" t="s">
        <v>31</v>
      </c>
      <c r="E35" s="78" t="str">
        <f>IF(I14="","",I14)</f>
        <v>Conference/event facilities</v>
      </c>
      <c r="F35" s="78" t="str">
        <f>IF(I15="","",I15)</f>
        <v xml:space="preserve">Location (accessibilities to events area)	</v>
      </c>
      <c r="G35" s="78" t="str">
        <f>IF(I16="","",I16)</f>
        <v>Staff/service quality</v>
      </c>
      <c r="H35" s="78" t="str">
        <f>IF(I17="","",I17)</f>
        <v>Breakfast (buffet)</v>
      </c>
      <c r="I35" s="78" t="str">
        <f>IF(I18="","",I18)</f>
        <v xml:space="preserve">Loyalty program(Lounge Club, discount)	</v>
      </c>
      <c r="J35" s="78" t="str">
        <f>IF(I19="","",I19)</f>
        <v>Room amenities (toiletries, branded amenities)</v>
      </c>
      <c r="K35" s="78" t="str">
        <f>IF(I20="","",I20)</f>
        <v xml:space="preserve">Speed of wifi </v>
      </c>
      <c r="L35" s="95" t="s">
        <v>77</v>
      </c>
      <c r="T35" s="5">
        <v>1</v>
      </c>
      <c r="U35" s="5">
        <v>1</v>
      </c>
      <c r="V35" s="5"/>
      <c r="W35" s="1" t="str">
        <f>CONCATENATE(T35,U35,V35,)</f>
        <v>11</v>
      </c>
      <c r="X35" s="16"/>
    </row>
    <row r="36" spans="1:33" ht="20.25" customHeight="1">
      <c r="A36" s="93"/>
      <c r="B36" s="93"/>
      <c r="C36" s="94"/>
      <c r="D36" s="94"/>
      <c r="E36" s="8">
        <f>IF(E35="","",M14)</f>
        <v>0.3</v>
      </c>
      <c r="F36" s="8">
        <f>IF(F35="","",M15)</f>
        <v>0.2</v>
      </c>
      <c r="G36" s="8">
        <f>IF(G35="","",M16)</f>
        <v>0.15</v>
      </c>
      <c r="H36" s="8">
        <f>IF(H35="","",M17)</f>
        <v>0.1</v>
      </c>
      <c r="I36" s="8">
        <f>IF(I35="","",M18)</f>
        <v>0.1</v>
      </c>
      <c r="J36" s="8">
        <f>IF(J35="","",M19)</f>
        <v>0.1</v>
      </c>
      <c r="K36" s="8">
        <f>IF(K35="","",M20)</f>
        <v>0.05</v>
      </c>
      <c r="L36" s="95"/>
      <c r="M36" s="9"/>
      <c r="S36" s="1">
        <f>COUNTBLANK(E35:K35)</f>
        <v>0</v>
      </c>
      <c r="T36" s="32" t="s">
        <v>68</v>
      </c>
      <c r="U36" s="32" t="s">
        <v>69</v>
      </c>
      <c r="V36" s="32"/>
      <c r="W36" s="32" t="s">
        <v>78</v>
      </c>
    </row>
    <row r="37" spans="1:33" ht="15.75">
      <c r="A37" s="90" t="str">
        <f>IF(B14="","",B14)</f>
        <v>Crown Sydney(Higher)</v>
      </c>
      <c r="B37" s="90"/>
      <c r="C37" s="22">
        <f>IF(E14="","",E14)</f>
        <v>349</v>
      </c>
      <c r="D37" s="22">
        <f t="shared" ref="D37:D43" si="9">+F14</f>
        <v>809</v>
      </c>
      <c r="E37" s="31">
        <v>-1</v>
      </c>
      <c r="F37" s="31">
        <v>0</v>
      </c>
      <c r="G37" s="31">
        <v>-2</v>
      </c>
      <c r="H37" s="31">
        <v>1</v>
      </c>
      <c r="I37" s="31">
        <v>-1</v>
      </c>
      <c r="J37" s="31">
        <v>3</v>
      </c>
      <c r="K37" s="31">
        <v>3</v>
      </c>
      <c r="L37" s="23">
        <f t="shared" ref="L37:L42" si="10">IF(A37="",0,SUMPRODUCT($E$36:$K$36,E37:K37))</f>
        <v>-0.14999999999999991</v>
      </c>
      <c r="M37" s="17">
        <f t="shared" ref="M37:M43" si="11">VLOOKUP(W37,$V$28:$W$35,2,0)</f>
        <v>0</v>
      </c>
      <c r="T37" s="2">
        <f>IF(A37="",1,0)</f>
        <v>0</v>
      </c>
      <c r="U37" s="2">
        <f t="shared" ref="U37:U43" si="12">IF(COUNT(E37:K37)&lt;7-$S$36,1,0)</f>
        <v>0</v>
      </c>
      <c r="V37" s="2"/>
      <c r="W37" s="2" t="str">
        <f t="shared" ref="W37:W43" si="13">CONCATENATE(T37,U37,V37,)</f>
        <v>00</v>
      </c>
    </row>
    <row r="38" spans="1:33" ht="15.75">
      <c r="A38" s="90" t="str">
        <f t="shared" ref="A38:A43" si="14">IF(B15="","",B15)</f>
        <v>Sofitel Daring Harbour</v>
      </c>
      <c r="B38" s="90"/>
      <c r="C38" s="22">
        <f t="shared" ref="C38:C43" si="15">IF(E15="","",E15)</f>
        <v>590</v>
      </c>
      <c r="D38" s="22">
        <f t="shared" si="9"/>
        <v>452</v>
      </c>
      <c r="E38" s="31">
        <v>-2</v>
      </c>
      <c r="F38" s="31">
        <v>1</v>
      </c>
      <c r="G38" s="31">
        <v>1</v>
      </c>
      <c r="H38" s="31">
        <v>2</v>
      </c>
      <c r="I38" s="31">
        <v>1</v>
      </c>
      <c r="J38" s="31">
        <v>2</v>
      </c>
      <c r="K38" s="31">
        <v>-2</v>
      </c>
      <c r="L38" s="23">
        <f t="shared" si="10"/>
        <v>0.15000000000000005</v>
      </c>
      <c r="M38" s="17">
        <f t="shared" si="11"/>
        <v>0</v>
      </c>
      <c r="T38" s="2">
        <f t="shared" ref="T38:T43" si="16">IF(A38="",1,0)</f>
        <v>0</v>
      </c>
      <c r="U38" s="2">
        <f t="shared" si="12"/>
        <v>0</v>
      </c>
      <c r="V38" s="2"/>
      <c r="W38" s="2" t="str">
        <f t="shared" si="13"/>
        <v>00</v>
      </c>
    </row>
    <row r="39" spans="1:33">
      <c r="A39" s="90" t="str">
        <f t="shared" si="14"/>
        <v>QT Sydney</v>
      </c>
      <c r="B39" s="90"/>
      <c r="C39" s="22">
        <f t="shared" si="15"/>
        <v>198</v>
      </c>
      <c r="D39" s="22">
        <f t="shared" si="9"/>
        <v>409</v>
      </c>
      <c r="E39" s="31">
        <v>-2</v>
      </c>
      <c r="F39" s="31">
        <v>3</v>
      </c>
      <c r="G39" s="31">
        <v>2</v>
      </c>
      <c r="H39" s="31">
        <v>1</v>
      </c>
      <c r="I39" s="31">
        <v>1</v>
      </c>
      <c r="J39" s="31">
        <v>3</v>
      </c>
      <c r="K39" s="31">
        <v>3</v>
      </c>
      <c r="L39" s="23">
        <f t="shared" si="10"/>
        <v>0.95000000000000018</v>
      </c>
      <c r="M39" s="17">
        <f t="shared" si="11"/>
        <v>0</v>
      </c>
      <c r="T39" s="2">
        <f t="shared" si="16"/>
        <v>0</v>
      </c>
      <c r="U39" s="2">
        <f t="shared" si="12"/>
        <v>0</v>
      </c>
      <c r="V39" s="2"/>
      <c r="W39" s="2" t="str">
        <f t="shared" si="13"/>
        <v>00</v>
      </c>
    </row>
    <row r="40" spans="1:33">
      <c r="A40" s="90" t="str">
        <f t="shared" si="14"/>
        <v>Paradox Sydney</v>
      </c>
      <c r="B40" s="90"/>
      <c r="C40" s="22">
        <f t="shared" si="15"/>
        <v>364</v>
      </c>
      <c r="D40" s="22">
        <f t="shared" si="9"/>
        <v>514</v>
      </c>
      <c r="E40" s="31">
        <f>-2</f>
        <v>-2</v>
      </c>
      <c r="F40" s="31">
        <v>0</v>
      </c>
      <c r="G40" s="31">
        <v>2</v>
      </c>
      <c r="H40" s="31">
        <v>3</v>
      </c>
      <c r="I40" s="31">
        <v>-2</v>
      </c>
      <c r="J40" s="31">
        <v>0</v>
      </c>
      <c r="K40" s="31">
        <v>2</v>
      </c>
      <c r="L40" s="23">
        <f t="shared" si="10"/>
        <v>-9.999999999999995E-2</v>
      </c>
      <c r="M40" s="17">
        <f t="shared" si="11"/>
        <v>0</v>
      </c>
      <c r="T40" s="2">
        <f t="shared" si="16"/>
        <v>0</v>
      </c>
      <c r="U40" s="2">
        <f t="shared" si="12"/>
        <v>0</v>
      </c>
      <c r="V40" s="2"/>
      <c r="W40" s="2" t="str">
        <f t="shared" si="13"/>
        <v>00</v>
      </c>
      <c r="AG40" s="1">
        <v>0</v>
      </c>
    </row>
    <row r="41" spans="1:33">
      <c r="A41" s="90" t="str">
        <f t="shared" si="14"/>
        <v>Swissotel</v>
      </c>
      <c r="B41" s="90"/>
      <c r="C41" s="22">
        <f t="shared" si="15"/>
        <v>369</v>
      </c>
      <c r="D41" s="22">
        <f t="shared" si="9"/>
        <v>419</v>
      </c>
      <c r="E41" s="31">
        <v>-2</v>
      </c>
      <c r="F41" s="31">
        <v>3</v>
      </c>
      <c r="G41" s="31">
        <v>-1</v>
      </c>
      <c r="H41" s="31">
        <v>2</v>
      </c>
      <c r="I41" s="31">
        <v>0</v>
      </c>
      <c r="J41" s="31">
        <v>2</v>
      </c>
      <c r="K41" s="31">
        <v>-1</v>
      </c>
      <c r="L41" s="23">
        <f t="shared" si="10"/>
        <v>0.20000000000000012</v>
      </c>
      <c r="M41" s="17">
        <f t="shared" si="11"/>
        <v>0</v>
      </c>
      <c r="T41" s="2">
        <f t="shared" si="16"/>
        <v>0</v>
      </c>
      <c r="U41" s="2">
        <f t="shared" si="12"/>
        <v>0</v>
      </c>
      <c r="V41" s="2"/>
      <c r="W41" s="2" t="str">
        <f t="shared" si="13"/>
        <v>00</v>
      </c>
    </row>
    <row r="42" spans="1:33">
      <c r="A42" s="90" t="str">
        <f t="shared" si="14"/>
        <v>Pullman Sydney Hyde Park(Lower)</v>
      </c>
      <c r="B42" s="90"/>
      <c r="C42" s="22">
        <f t="shared" si="15"/>
        <v>241</v>
      </c>
      <c r="D42" s="22">
        <f t="shared" si="9"/>
        <v>263</v>
      </c>
      <c r="E42" s="31">
        <v>-2</v>
      </c>
      <c r="F42" s="31">
        <v>0</v>
      </c>
      <c r="G42" s="31">
        <v>-1</v>
      </c>
      <c r="H42" s="31">
        <v>1</v>
      </c>
      <c r="I42" s="31">
        <v>0</v>
      </c>
      <c r="J42" s="31">
        <v>0</v>
      </c>
      <c r="K42" s="31">
        <v>-2</v>
      </c>
      <c r="L42" s="23">
        <f t="shared" si="10"/>
        <v>-0.75</v>
      </c>
      <c r="M42" s="17">
        <f t="shared" si="11"/>
        <v>0</v>
      </c>
      <c r="T42" s="2">
        <f t="shared" si="16"/>
        <v>0</v>
      </c>
      <c r="U42" s="2">
        <f t="shared" si="12"/>
        <v>0</v>
      </c>
      <c r="V42" s="2"/>
      <c r="W42" s="2" t="str">
        <f t="shared" si="13"/>
        <v>00</v>
      </c>
    </row>
    <row r="43" spans="1:33">
      <c r="A43" s="90" t="str">
        <f t="shared" si="14"/>
        <v/>
      </c>
      <c r="B43" s="90"/>
      <c r="C43" s="22" t="str">
        <f t="shared" si="15"/>
        <v/>
      </c>
      <c r="D43" s="22">
        <f t="shared" si="9"/>
        <v>0</v>
      </c>
      <c r="E43" s="31"/>
      <c r="F43" s="31"/>
      <c r="G43" s="31"/>
      <c r="H43" s="31"/>
      <c r="I43" s="31"/>
      <c r="J43" s="31"/>
      <c r="K43" s="31"/>
      <c r="L43" s="23">
        <f>IF(A43="",0,SUMPRODUCT($E$36:$K$36,E43:K43))</f>
        <v>0</v>
      </c>
      <c r="M43" s="17">
        <f t="shared" si="11"/>
        <v>0</v>
      </c>
      <c r="T43" s="2">
        <f t="shared" si="16"/>
        <v>1</v>
      </c>
      <c r="U43" s="2">
        <f t="shared" si="12"/>
        <v>1</v>
      </c>
      <c r="V43" s="2"/>
      <c r="W43" s="2" t="str">
        <f t="shared" si="13"/>
        <v>11</v>
      </c>
    </row>
    <row r="45" spans="1:33" ht="24">
      <c r="A45" s="92" t="s">
        <v>79</v>
      </c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</row>
    <row r="53" spans="14:15">
      <c r="N53" s="91" t="s">
        <v>26</v>
      </c>
      <c r="O53" s="91"/>
    </row>
    <row r="76" spans="1:3" s="35" customFormat="1"/>
    <row r="77" spans="1:3" s="35" customFormat="1"/>
    <row r="78" spans="1:3" s="35" customFormat="1">
      <c r="B78" s="35" t="s">
        <v>80</v>
      </c>
      <c r="C78" s="35" t="s">
        <v>81</v>
      </c>
    </row>
    <row r="79" spans="1:3" s="35" customFormat="1">
      <c r="A79" s="35" t="str">
        <f>+B5</f>
        <v>Hyatt Regency</v>
      </c>
      <c r="B79" s="35">
        <f>AG40</f>
        <v>0</v>
      </c>
      <c r="C79" s="35">
        <f>My_Rate-My_Rate</f>
        <v>0</v>
      </c>
    </row>
    <row r="80" spans="1:3" s="35" customFormat="1">
      <c r="A80" s="35" t="str">
        <f t="shared" ref="A80:A86" si="17">+A37</f>
        <v>Crown Sydney(Higher)</v>
      </c>
      <c r="B80" s="35">
        <f t="shared" ref="B80:B86" si="18">+L37</f>
        <v>-0.14999999999999991</v>
      </c>
      <c r="C80" s="35">
        <f t="shared" ref="C80:C86" si="19">IF(F14="",0,F14-My_Rate)</f>
        <v>410</v>
      </c>
    </row>
    <row r="81" spans="1:3" s="35" customFormat="1">
      <c r="A81" s="35" t="str">
        <f t="shared" si="17"/>
        <v>Sofitel Daring Harbour</v>
      </c>
      <c r="B81" s="35">
        <f t="shared" si="18"/>
        <v>0.15000000000000005</v>
      </c>
      <c r="C81" s="35">
        <f t="shared" si="19"/>
        <v>53</v>
      </c>
    </row>
    <row r="82" spans="1:3" s="35" customFormat="1">
      <c r="A82" s="35" t="str">
        <f t="shared" si="17"/>
        <v>QT Sydney</v>
      </c>
      <c r="B82" s="35">
        <f t="shared" si="18"/>
        <v>0.95000000000000018</v>
      </c>
      <c r="C82" s="35">
        <f t="shared" si="19"/>
        <v>10</v>
      </c>
    </row>
    <row r="83" spans="1:3" s="35" customFormat="1">
      <c r="A83" s="35" t="str">
        <f t="shared" si="17"/>
        <v>Paradox Sydney</v>
      </c>
      <c r="B83" s="35">
        <f t="shared" si="18"/>
        <v>-9.999999999999995E-2</v>
      </c>
      <c r="C83" s="35">
        <f t="shared" si="19"/>
        <v>115</v>
      </c>
    </row>
    <row r="84" spans="1:3" s="35" customFormat="1">
      <c r="A84" s="35" t="str">
        <f t="shared" si="17"/>
        <v>Swissotel</v>
      </c>
      <c r="B84" s="35">
        <f t="shared" si="18"/>
        <v>0.20000000000000012</v>
      </c>
      <c r="C84" s="35">
        <f t="shared" si="19"/>
        <v>20</v>
      </c>
    </row>
    <row r="85" spans="1:3" s="35" customFormat="1">
      <c r="A85" s="35" t="str">
        <f t="shared" si="17"/>
        <v>Pullman Sydney Hyde Park(Lower)</v>
      </c>
      <c r="B85" s="35">
        <f t="shared" si="18"/>
        <v>-0.75</v>
      </c>
      <c r="C85" s="35">
        <f t="shared" si="19"/>
        <v>-136</v>
      </c>
    </row>
    <row r="86" spans="1:3" s="35" customFormat="1">
      <c r="A86" s="35" t="str">
        <f t="shared" si="17"/>
        <v/>
      </c>
      <c r="B86" s="35">
        <f t="shared" si="18"/>
        <v>0</v>
      </c>
      <c r="C86" s="35">
        <f t="shared" si="19"/>
        <v>0</v>
      </c>
    </row>
    <row r="87" spans="1:3" s="35" customFormat="1">
      <c r="A87" s="35" t="s">
        <v>82</v>
      </c>
      <c r="C87" s="35">
        <f>+C94</f>
        <v>410</v>
      </c>
    </row>
    <row r="88" spans="1:3" s="35" customFormat="1">
      <c r="A88" s="35" t="s">
        <v>83</v>
      </c>
      <c r="C88" s="35">
        <f>-C94</f>
        <v>-410</v>
      </c>
    </row>
    <row r="89" spans="1:3" s="35" customFormat="1"/>
    <row r="90" spans="1:3" s="35" customFormat="1"/>
    <row r="91" spans="1:3" s="35" customFormat="1"/>
    <row r="92" spans="1:3" s="35" customFormat="1">
      <c r="A92" s="35" t="s">
        <v>82</v>
      </c>
      <c r="C92" s="35">
        <f>MIN(C80:C86)</f>
        <v>-136</v>
      </c>
    </row>
    <row r="93" spans="1:3" s="35" customFormat="1">
      <c r="A93" s="35" t="s">
        <v>83</v>
      </c>
      <c r="C93" s="35">
        <f>MAX(C80:C86)</f>
        <v>410</v>
      </c>
    </row>
    <row r="94" spans="1:3" s="35" customFormat="1">
      <c r="A94" s="35" t="s">
        <v>84</v>
      </c>
      <c r="C94" s="35" cm="1">
        <f t="array" ref="C94">MAX(ABS(C92:C93))</f>
        <v>410</v>
      </c>
    </row>
    <row r="95" spans="1:3" s="35" customFormat="1"/>
    <row r="96" spans="1:3" s="35" customFormat="1"/>
    <row r="97" s="35" customFormat="1"/>
    <row r="98" s="36" customFormat="1"/>
    <row r="99" s="36" customFormat="1"/>
    <row r="100" s="36" customFormat="1"/>
    <row r="101" s="36" customFormat="1"/>
    <row r="102" s="36" customFormat="1"/>
  </sheetData>
  <sheetProtection algorithmName="SHA-512" hashValue="9JeFdBODSZxGaU01znmjfYXftdQ4pS19tciSwYrZ9Nu364K03IYF40a/4JPpnWRn5JDguhm8AF6viHaCThHHbw==" saltValue="Jmb8xI3bc8kklfMcUXd5AQ==" spinCount="100000" sheet="1" objects="1" scenarios="1"/>
  <mergeCells count="44">
    <mergeCell ref="A11:F11"/>
    <mergeCell ref="H11:M11"/>
    <mergeCell ref="A1:O1"/>
    <mergeCell ref="A3:D3"/>
    <mergeCell ref="B5:D5"/>
    <mergeCell ref="B6:D6"/>
    <mergeCell ref="N9:O9"/>
    <mergeCell ref="B13:D13"/>
    <mergeCell ref="I13:L13"/>
    <mergeCell ref="B14:D14"/>
    <mergeCell ref="I14:L14"/>
    <mergeCell ref="B15:D15"/>
    <mergeCell ref="I15:L15"/>
    <mergeCell ref="B16:D16"/>
    <mergeCell ref="I16:L16"/>
    <mergeCell ref="B17:D17"/>
    <mergeCell ref="I17:L17"/>
    <mergeCell ref="B18:D18"/>
    <mergeCell ref="I18:L18"/>
    <mergeCell ref="E34:K34"/>
    <mergeCell ref="N34:O34"/>
    <mergeCell ref="B19:D19"/>
    <mergeCell ref="I19:L19"/>
    <mergeCell ref="B20:D20"/>
    <mergeCell ref="I20:L20"/>
    <mergeCell ref="I21:L21"/>
    <mergeCell ref="A26:O26"/>
    <mergeCell ref="B28:D28"/>
    <mergeCell ref="B29:D29"/>
    <mergeCell ref="B30:D30"/>
    <mergeCell ref="B31:D31"/>
    <mergeCell ref="A35:B36"/>
    <mergeCell ref="C35:C36"/>
    <mergeCell ref="D35:D36"/>
    <mergeCell ref="L35:L36"/>
    <mergeCell ref="A37:B37"/>
    <mergeCell ref="A38:B38"/>
    <mergeCell ref="N53:O53"/>
    <mergeCell ref="A39:B39"/>
    <mergeCell ref="A40:B40"/>
    <mergeCell ref="A41:B41"/>
    <mergeCell ref="A42:B42"/>
    <mergeCell ref="A43:B43"/>
    <mergeCell ref="A45:O45"/>
  </mergeCells>
  <phoneticPr fontId="41"/>
  <conditionalFormatting sqref="E36">
    <cfRule type="expression" dxfId="62" priority="31">
      <formula>E$35=""</formula>
    </cfRule>
  </conditionalFormatting>
  <conditionalFormatting sqref="A43:B43 L37:L43 D43">
    <cfRule type="expression" dxfId="61" priority="30">
      <formula>$A37=""</formula>
    </cfRule>
  </conditionalFormatting>
  <conditionalFormatting sqref="E35 F35:K36">
    <cfRule type="expression" dxfId="60" priority="29">
      <formula>E$35=""</formula>
    </cfRule>
  </conditionalFormatting>
  <conditionalFormatting sqref="A37:D37 A38:B42 D38:D42 C38:C43">
    <cfRule type="expression" dxfId="59" priority="27">
      <formula>$A37=""</formula>
    </cfRule>
  </conditionalFormatting>
  <conditionalFormatting sqref="E38:K43">
    <cfRule type="expression" dxfId="58" priority="25">
      <formula>E$35=""</formula>
    </cfRule>
  </conditionalFormatting>
  <conditionalFormatting sqref="E38:K43">
    <cfRule type="expression" dxfId="57" priority="24">
      <formula>$A38=""</formula>
    </cfRule>
  </conditionalFormatting>
  <conditionalFormatting sqref="E38:K43">
    <cfRule type="expression" dxfId="56" priority="23">
      <formula>OR(E$35="",$A38="")</formula>
    </cfRule>
  </conditionalFormatting>
  <conditionalFormatting sqref="F37:K37">
    <cfRule type="expression" dxfId="55" priority="22">
      <formula>F$35=""</formula>
    </cfRule>
  </conditionalFormatting>
  <conditionalFormatting sqref="F37:K37">
    <cfRule type="expression" dxfId="54" priority="21">
      <formula>$A37=""</formula>
    </cfRule>
  </conditionalFormatting>
  <conditionalFormatting sqref="F37:K37">
    <cfRule type="expression" dxfId="53" priority="20">
      <formula>OR(F$35="",$A37="")</formula>
    </cfRule>
  </conditionalFormatting>
  <conditionalFormatting sqref="W31:W32">
    <cfRule type="expression" dxfId="52" priority="18">
      <formula>$A$37:$B$43=""</formula>
    </cfRule>
    <cfRule type="cellIs" dxfId="51" priority="19" operator="equal">
      <formula>"OK"</formula>
    </cfRule>
  </conditionalFormatting>
  <conditionalFormatting sqref="W33:W34">
    <cfRule type="expression" dxfId="50" priority="16">
      <formula>$A$37:$B$43=""</formula>
    </cfRule>
    <cfRule type="cellIs" dxfId="49" priority="17" operator="equal">
      <formula>"OK"</formula>
    </cfRule>
  </conditionalFormatting>
  <conditionalFormatting sqref="W28">
    <cfRule type="expression" dxfId="48" priority="14">
      <formula>$A$37:$B$43=""</formula>
    </cfRule>
    <cfRule type="cellIs" dxfId="47" priority="15" operator="equal">
      <formula>"OK"</formula>
    </cfRule>
  </conditionalFormatting>
  <conditionalFormatting sqref="W29">
    <cfRule type="expression" dxfId="46" priority="12">
      <formula>$A$37:$B$43=""</formula>
    </cfRule>
    <cfRule type="cellIs" dxfId="45" priority="13" operator="equal">
      <formula>"OK"</formula>
    </cfRule>
  </conditionalFormatting>
  <conditionalFormatting sqref="M37:M43">
    <cfRule type="cellIs" dxfId="44" priority="6" operator="equal">
      <formula>"OK"</formula>
    </cfRule>
    <cfRule type="cellIs" dxfId="43" priority="11" operator="equal">
      <formula>0</formula>
    </cfRule>
  </conditionalFormatting>
  <conditionalFormatting sqref="X35">
    <cfRule type="expression" dxfId="42" priority="9">
      <formula>$A$37:$B$43=""</formula>
    </cfRule>
    <cfRule type="cellIs" dxfId="41" priority="10" operator="equal">
      <formula>"OK"</formula>
    </cfRule>
  </conditionalFormatting>
  <conditionalFormatting sqref="W30">
    <cfRule type="expression" dxfId="40" priority="7">
      <formula>$A$37:$B$43=""</formula>
    </cfRule>
    <cfRule type="cellIs" dxfId="39" priority="8" operator="equal">
      <formula>"OK"</formula>
    </cfRule>
  </conditionalFormatting>
  <conditionalFormatting sqref="M21">
    <cfRule type="cellIs" dxfId="38" priority="5" operator="equal">
      <formula>1</formula>
    </cfRule>
  </conditionalFormatting>
  <conditionalFormatting sqref="M23">
    <cfRule type="expression" dxfId="37" priority="4">
      <formula>$M$21=0</formula>
    </cfRule>
  </conditionalFormatting>
  <conditionalFormatting sqref="M14:M20">
    <cfRule type="expression" dxfId="36" priority="32">
      <formula>U14=1</formula>
    </cfRule>
  </conditionalFormatting>
  <conditionalFormatting sqref="I14:I20">
    <cfRule type="expression" dxfId="35" priority="33">
      <formula>V14=1</formula>
    </cfRule>
  </conditionalFormatting>
  <conditionalFormatting sqref="B14:B20">
    <cfRule type="expression" dxfId="34" priority="34">
      <formula>T14=1</formula>
    </cfRule>
  </conditionalFormatting>
  <conditionalFormatting sqref="E37">
    <cfRule type="expression" dxfId="33" priority="3">
      <formula>E$35=""</formula>
    </cfRule>
  </conditionalFormatting>
  <conditionalFormatting sqref="E37">
    <cfRule type="expression" dxfId="32" priority="2">
      <formula>$A37=""</formula>
    </cfRule>
  </conditionalFormatting>
  <conditionalFormatting sqref="E37">
    <cfRule type="expression" dxfId="31" priority="1">
      <formula>OR(E$35="",$A37="")</formula>
    </cfRule>
  </conditionalFormatting>
  <dataValidations count="1">
    <dataValidation type="decimal" allowBlank="1" showInputMessage="1" showErrorMessage="1" errorTitle="Error" error="Value must range from -3 to 3." promptTitle="Enter Relative Ranking" sqref="E37:K43 U5:AA11" xr:uid="{3989B85F-0F03-4CAC-A16B-B8ADCE60A845}">
      <formula1>-3</formula1>
      <formula2>3</formula2>
    </dataValidation>
  </dataValidations>
  <hyperlinks>
    <hyperlink ref="N9" location="Instructions!A1" display="Return to Instructions" xr:uid="{61B3CD60-E22B-40B6-AE37-E36F69C5F929}"/>
    <hyperlink ref="N34" location="Instructions!A1" display="Return to Instructions" xr:uid="{85878A82-7899-4481-A095-C43DE538F07B}"/>
    <hyperlink ref="N53" location="Instructions!A1" display="Return to Instructions" xr:uid="{4BE40339-6603-40E8-9347-087C0D1BE827}"/>
  </hyperlinks>
  <pageMargins left="0.7" right="0.7" top="0.75" bottom="0.75" header="0.3" footer="0.3"/>
  <pageSetup scale="71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atings">
                <anchor moveWithCells="1" sizeWithCells="1">
                  <from>
                    <xdr:col>13</xdr:col>
                    <xdr:colOff>330200</xdr:colOff>
                    <xdr:row>2</xdr:row>
                    <xdr:rowOff>63500</xdr:rowOff>
                  </from>
                  <to>
                    <xdr:col>14</xdr:col>
                    <xdr:colOff>698500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hart">
                <anchor moveWithCells="1" sizeWithCells="1">
                  <from>
                    <xdr:col>13</xdr:col>
                    <xdr:colOff>330200</xdr:colOff>
                    <xdr:row>5</xdr:row>
                    <xdr:rowOff>25400</xdr:rowOff>
                  </from>
                  <to>
                    <xdr:col>14</xdr:col>
                    <xdr:colOff>698500</xdr:colOff>
                    <xdr:row>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Inputs">
                <anchor moveWithCells="1" sizeWithCells="1">
                  <from>
                    <xdr:col>13</xdr:col>
                    <xdr:colOff>330200</xdr:colOff>
                    <xdr:row>27</xdr:row>
                    <xdr:rowOff>101600</xdr:rowOff>
                  </from>
                  <to>
                    <xdr:col>14</xdr:col>
                    <xdr:colOff>685800</xdr:colOff>
                    <xdr:row>29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Chart">
                <anchor moveWithCells="1" sizeWithCells="1">
                  <from>
                    <xdr:col>13</xdr:col>
                    <xdr:colOff>330200</xdr:colOff>
                    <xdr:row>30</xdr:row>
                    <xdr:rowOff>38100</xdr:rowOff>
                  </from>
                  <to>
                    <xdr:col>14</xdr:col>
                    <xdr:colOff>685800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Inputs">
                <anchor moveWithCells="1" sizeWithCells="1">
                  <from>
                    <xdr:col>13</xdr:col>
                    <xdr:colOff>330200</xdr:colOff>
                    <xdr:row>46</xdr:row>
                    <xdr:rowOff>76200</xdr:rowOff>
                  </from>
                  <to>
                    <xdr:col>14</xdr:col>
                    <xdr:colOff>685800</xdr:colOff>
                    <xdr:row>48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Ratings">
                <anchor moveWithCells="1" sizeWithCells="1">
                  <from>
                    <xdr:col>13</xdr:col>
                    <xdr:colOff>330200</xdr:colOff>
                    <xdr:row>49</xdr:row>
                    <xdr:rowOff>0</xdr:rowOff>
                  </from>
                  <to>
                    <xdr:col>14</xdr:col>
                    <xdr:colOff>685800</xdr:colOff>
                    <xdr:row>51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0D0FA-1E42-4DFA-9D10-73737FB46306}">
  <sheetPr codeName="Sheet3">
    <pageSetUpPr fitToPage="1"/>
  </sheetPr>
  <dimension ref="A1:AG102"/>
  <sheetViews>
    <sheetView topLeftCell="A56" zoomScale="85" zoomScaleNormal="85" workbookViewId="0">
      <selection activeCell="N69" sqref="N69"/>
    </sheetView>
  </sheetViews>
  <sheetFormatPr defaultColWidth="8.625" defaultRowHeight="18"/>
  <cols>
    <col min="1" max="1" width="14.875" style="1" bestFit="1" customWidth="1"/>
    <col min="2" max="2" width="11.5" style="1" bestFit="1" customWidth="1"/>
    <col min="3" max="11" width="10.625" style="1" customWidth="1"/>
    <col min="12" max="12" width="15" style="1" bestFit="1" customWidth="1"/>
    <col min="13" max="16" width="10.625" style="1" customWidth="1"/>
    <col min="17" max="17" width="10.625" style="1" hidden="1" customWidth="1"/>
    <col min="18" max="20" width="16.125" style="1" hidden="1" customWidth="1"/>
    <col min="21" max="21" width="18.5" style="1" hidden="1" customWidth="1"/>
    <col min="22" max="22" width="15.5" style="1" hidden="1" customWidth="1"/>
    <col min="23" max="24" width="32.375" style="1" hidden="1" customWidth="1"/>
    <col min="25" max="25" width="7.5" style="1" hidden="1" customWidth="1"/>
    <col min="26" max="26" width="6.5" style="1" hidden="1" customWidth="1"/>
    <col min="27" max="27" width="14.5" style="1" hidden="1" customWidth="1"/>
    <col min="28" max="28" width="2.125" style="1" hidden="1" customWidth="1"/>
    <col min="29" max="30" width="0" style="1" hidden="1" customWidth="1"/>
    <col min="31" max="31" width="5.125" style="1" hidden="1" customWidth="1"/>
    <col min="32" max="32" width="0" style="1" hidden="1" customWidth="1"/>
    <col min="33" max="33" width="2.125" style="1" hidden="1" customWidth="1"/>
    <col min="34" max="35" width="0" style="1" hidden="1" customWidth="1"/>
    <col min="36" max="16384" width="8.625" style="1"/>
  </cols>
  <sheetData>
    <row r="1" spans="1:31" ht="24">
      <c r="A1" s="92" t="s">
        <v>16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U1" s="1">
        <f>IF(U3="",1,0)</f>
        <v>0</v>
      </c>
      <c r="V1" s="1">
        <f t="shared" ref="V1:AA1" si="0">IF(V3="",1,0)</f>
        <v>0</v>
      </c>
      <c r="W1" s="1">
        <f t="shared" si="0"/>
        <v>0</v>
      </c>
      <c r="X1" s="1">
        <f t="shared" si="0"/>
        <v>0</v>
      </c>
      <c r="Y1" s="1">
        <f t="shared" si="0"/>
        <v>0</v>
      </c>
      <c r="Z1" s="1">
        <f t="shared" si="0"/>
        <v>0</v>
      </c>
      <c r="AA1" s="1">
        <f t="shared" si="0"/>
        <v>0</v>
      </c>
    </row>
    <row r="2" spans="1:31">
      <c r="U2" s="11" t="s">
        <v>17</v>
      </c>
      <c r="V2" s="12"/>
      <c r="W2" s="12"/>
      <c r="X2" s="12"/>
      <c r="Y2" s="12"/>
      <c r="Z2" s="12"/>
      <c r="AA2" s="13"/>
    </row>
    <row r="3" spans="1:31" ht="15.75" customHeight="1">
      <c r="A3" s="96" t="s">
        <v>18</v>
      </c>
      <c r="B3" s="97"/>
      <c r="C3" s="97"/>
      <c r="D3" s="98"/>
      <c r="U3" s="14" t="str">
        <f t="shared" ref="U3:AA4" si="1">+E35</f>
        <v>Guest rooms</v>
      </c>
      <c r="V3" s="14" t="str">
        <f t="shared" si="1"/>
        <v>Location</v>
      </c>
      <c r="W3" s="14" t="str">
        <f t="shared" si="1"/>
        <v>Pool</v>
      </c>
      <c r="X3" s="14" t="str">
        <f t="shared" si="1"/>
        <v>Restaurant</v>
      </c>
      <c r="Y3" s="14" t="str">
        <f t="shared" si="1"/>
        <v>Service</v>
      </c>
      <c r="Z3" s="14" t="str">
        <f t="shared" si="1"/>
        <v>Lobby</v>
      </c>
      <c r="AA3" s="14" t="str">
        <f t="shared" si="1"/>
        <v>Fitness Center</v>
      </c>
      <c r="AE3" s="7">
        <f>7-COUNTBLANK(E36:K36)</f>
        <v>7</v>
      </c>
    </row>
    <row r="4" spans="1:31" ht="15" customHeight="1">
      <c r="U4" s="14">
        <f t="shared" si="1"/>
        <v>0.2</v>
      </c>
      <c r="V4" s="14">
        <f t="shared" si="1"/>
        <v>0.2</v>
      </c>
      <c r="W4" s="14">
        <f t="shared" si="1"/>
        <v>0.15</v>
      </c>
      <c r="X4" s="14">
        <f t="shared" si="1"/>
        <v>0.2</v>
      </c>
      <c r="Y4" s="14">
        <f t="shared" si="1"/>
        <v>0.1</v>
      </c>
      <c r="Z4" s="14">
        <f t="shared" si="1"/>
        <v>0.05</v>
      </c>
      <c r="AA4" s="14">
        <f t="shared" si="1"/>
        <v>0.1</v>
      </c>
    </row>
    <row r="5" spans="1:31" ht="15" customHeight="1">
      <c r="A5" s="77" t="s">
        <v>19</v>
      </c>
      <c r="B5" s="113" t="s">
        <v>85</v>
      </c>
      <c r="C5" s="114"/>
      <c r="D5" s="115"/>
      <c r="T5" s="6" t="str">
        <f t="shared" ref="T5:T11" si="2">+A37</f>
        <v>City View</v>
      </c>
      <c r="U5" s="10">
        <v>3</v>
      </c>
      <c r="V5" s="10">
        <v>2</v>
      </c>
      <c r="W5" s="10">
        <v>2</v>
      </c>
      <c r="X5" s="10">
        <v>2</v>
      </c>
      <c r="Y5" s="10"/>
      <c r="Z5" s="10"/>
      <c r="AA5" s="10">
        <v>2</v>
      </c>
      <c r="AB5" s="1">
        <f>IF(T5="",1,0)</f>
        <v>0</v>
      </c>
    </row>
    <row r="6" spans="1:31" ht="15" customHeight="1">
      <c r="A6" s="77" t="s">
        <v>21</v>
      </c>
      <c r="B6" s="113" t="s">
        <v>86</v>
      </c>
      <c r="C6" s="114"/>
      <c r="D6" s="115"/>
      <c r="T6" s="6" t="str">
        <f t="shared" si="2"/>
        <v>Country Inn</v>
      </c>
      <c r="U6" s="10">
        <v>1</v>
      </c>
      <c r="V6" s="10">
        <v>2</v>
      </c>
      <c r="W6" s="10">
        <v>2</v>
      </c>
      <c r="X6" s="10">
        <v>2</v>
      </c>
      <c r="Y6" s="10">
        <v>2</v>
      </c>
      <c r="Z6" s="10">
        <v>2</v>
      </c>
      <c r="AA6" s="10"/>
      <c r="AB6" s="1">
        <f t="shared" ref="AB6:AB11" si="3">IF(T6="",1,0)</f>
        <v>0</v>
      </c>
    </row>
    <row r="7" spans="1:31" ht="15" customHeight="1">
      <c r="A7" s="77" t="s">
        <v>23</v>
      </c>
      <c r="B7" s="74" t="s">
        <v>87</v>
      </c>
      <c r="C7" s="75"/>
      <c r="D7" s="76"/>
      <c r="T7" s="6" t="str">
        <f t="shared" si="2"/>
        <v>Lakefront Lodge</v>
      </c>
      <c r="U7" s="10">
        <v>1</v>
      </c>
      <c r="V7" s="10">
        <v>1</v>
      </c>
      <c r="W7" s="10">
        <v>1</v>
      </c>
      <c r="X7" s="10">
        <v>1</v>
      </c>
      <c r="Y7" s="10">
        <v>1</v>
      </c>
      <c r="Z7" s="10">
        <v>1</v>
      </c>
      <c r="AA7" s="10">
        <f>2</f>
        <v>2</v>
      </c>
      <c r="AB7" s="1">
        <f t="shared" si="3"/>
        <v>0</v>
      </c>
      <c r="AE7" s="7">
        <f>COUNTBLANK(V7:AB7)</f>
        <v>0</v>
      </c>
    </row>
    <row r="8" spans="1:31">
      <c r="A8" s="77" t="s">
        <v>25</v>
      </c>
      <c r="B8" s="74">
        <v>150</v>
      </c>
      <c r="C8" s="75"/>
      <c r="D8" s="76"/>
      <c r="T8" s="6" t="str">
        <f t="shared" si="2"/>
        <v>Hotel Downtown</v>
      </c>
      <c r="U8" s="10">
        <v>0.5</v>
      </c>
      <c r="V8" s="10">
        <v>0.5</v>
      </c>
      <c r="W8" s="10"/>
      <c r="X8" s="10">
        <v>0.5</v>
      </c>
      <c r="Y8" s="10">
        <v>0.5</v>
      </c>
      <c r="Z8" s="10">
        <v>0.5</v>
      </c>
      <c r="AA8" s="10"/>
      <c r="AB8" s="1">
        <f t="shared" si="3"/>
        <v>0</v>
      </c>
    </row>
    <row r="9" spans="1:31">
      <c r="N9" s="91" t="s">
        <v>26</v>
      </c>
      <c r="O9" s="91"/>
      <c r="T9" s="6" t="str">
        <f t="shared" si="2"/>
        <v>Seaside Cottage</v>
      </c>
      <c r="U9" s="10">
        <v>-1</v>
      </c>
      <c r="V9" s="10">
        <v>-1</v>
      </c>
      <c r="W9" s="10">
        <v>2</v>
      </c>
      <c r="X9" s="10">
        <v>-1</v>
      </c>
      <c r="Y9" s="10">
        <v>-1</v>
      </c>
      <c r="Z9" s="10">
        <v>-1</v>
      </c>
      <c r="AA9" s="10">
        <v>-1</v>
      </c>
      <c r="AB9" s="1">
        <f t="shared" si="3"/>
        <v>0</v>
      </c>
    </row>
    <row r="10" spans="1:31">
      <c r="T10" s="6" t="str">
        <f t="shared" si="2"/>
        <v>Family Hotel</v>
      </c>
      <c r="U10" s="10">
        <v>-2</v>
      </c>
      <c r="V10" s="10">
        <v>-2</v>
      </c>
      <c r="W10" s="10">
        <v>2</v>
      </c>
      <c r="X10" s="10">
        <v>-2</v>
      </c>
      <c r="Y10" s="10">
        <v>-2</v>
      </c>
      <c r="Z10" s="10">
        <v>-2</v>
      </c>
      <c r="AA10" s="10">
        <v>-2</v>
      </c>
      <c r="AB10" s="1">
        <f t="shared" si="3"/>
        <v>0</v>
      </c>
    </row>
    <row r="11" spans="1:31">
      <c r="A11" s="96" t="s">
        <v>27</v>
      </c>
      <c r="B11" s="97"/>
      <c r="C11" s="97"/>
      <c r="D11" s="97"/>
      <c r="E11" s="97"/>
      <c r="F11" s="98"/>
      <c r="H11" s="112" t="s">
        <v>28</v>
      </c>
      <c r="I11" s="112"/>
      <c r="J11" s="112"/>
      <c r="K11" s="112"/>
      <c r="L11" s="112"/>
      <c r="M11" s="112"/>
      <c r="T11" s="6" t="str">
        <f t="shared" si="2"/>
        <v>Royal Tower</v>
      </c>
      <c r="U11" s="10">
        <v>-3</v>
      </c>
      <c r="V11" s="10">
        <v>-3</v>
      </c>
      <c r="W11" s="10">
        <v>-3</v>
      </c>
      <c r="X11" s="10">
        <v>-3</v>
      </c>
      <c r="Y11" s="10">
        <v>-3</v>
      </c>
      <c r="Z11" s="10">
        <v>-3</v>
      </c>
      <c r="AA11" s="10">
        <v>-3</v>
      </c>
      <c r="AB11" s="1">
        <f t="shared" si="3"/>
        <v>0</v>
      </c>
    </row>
    <row r="13" spans="1:31" ht="38.1">
      <c r="B13" s="106" t="s">
        <v>29</v>
      </c>
      <c r="C13" s="107"/>
      <c r="D13" s="108"/>
      <c r="E13" s="19" t="s">
        <v>30</v>
      </c>
      <c r="F13" s="19" t="s">
        <v>31</v>
      </c>
      <c r="G13" s="20"/>
      <c r="H13" s="20"/>
      <c r="I13" s="109" t="s">
        <v>32</v>
      </c>
      <c r="J13" s="110"/>
      <c r="K13" s="110"/>
      <c r="L13" s="111"/>
      <c r="M13" s="21" t="s">
        <v>33</v>
      </c>
      <c r="T13" s="32" t="s">
        <v>34</v>
      </c>
      <c r="U13" s="32" t="s">
        <v>35</v>
      </c>
      <c r="V13" s="32" t="s">
        <v>36</v>
      </c>
    </row>
    <row r="14" spans="1:31">
      <c r="A14" s="4" t="s">
        <v>37</v>
      </c>
      <c r="B14" s="99" t="s">
        <v>88</v>
      </c>
      <c r="C14" s="100"/>
      <c r="D14" s="100"/>
      <c r="E14" s="29">
        <v>212</v>
      </c>
      <c r="F14" s="29">
        <v>157</v>
      </c>
      <c r="H14" s="3" t="s">
        <v>39</v>
      </c>
      <c r="I14" s="99" t="s">
        <v>89</v>
      </c>
      <c r="J14" s="100"/>
      <c r="K14" s="100"/>
      <c r="L14" s="101"/>
      <c r="M14" s="30">
        <v>0.2</v>
      </c>
      <c r="T14" s="2">
        <f t="shared" ref="T14:T20" si="4">IF(AND(B14&lt;&gt;"",F14=""),1,0)</f>
        <v>0</v>
      </c>
      <c r="U14" s="2">
        <f t="shared" ref="U14:U20" si="5">IF(ISBLANK(I14),1,0)</f>
        <v>0</v>
      </c>
      <c r="V14" s="2">
        <f t="shared" ref="V14:V20" si="6">IF(AND(U14=0,M14=0),1,0)</f>
        <v>0</v>
      </c>
    </row>
    <row r="15" spans="1:31">
      <c r="A15" s="4" t="s">
        <v>41</v>
      </c>
      <c r="B15" s="99" t="s">
        <v>90</v>
      </c>
      <c r="C15" s="100"/>
      <c r="D15" s="100"/>
      <c r="E15" s="29">
        <v>301</v>
      </c>
      <c r="F15" s="29">
        <v>165</v>
      </c>
      <c r="H15" s="3" t="s">
        <v>43</v>
      </c>
      <c r="I15" s="99" t="s">
        <v>91</v>
      </c>
      <c r="J15" s="100"/>
      <c r="K15" s="100"/>
      <c r="L15" s="101"/>
      <c r="M15" s="30">
        <v>0.2</v>
      </c>
      <c r="T15" s="2">
        <f t="shared" si="4"/>
        <v>0</v>
      </c>
      <c r="U15" s="2">
        <f t="shared" si="5"/>
        <v>0</v>
      </c>
      <c r="V15" s="2">
        <f t="shared" si="6"/>
        <v>0</v>
      </c>
    </row>
    <row r="16" spans="1:31">
      <c r="A16" s="4" t="s">
        <v>45</v>
      </c>
      <c r="B16" s="99" t="s">
        <v>92</v>
      </c>
      <c r="C16" s="100"/>
      <c r="D16" s="100"/>
      <c r="E16" s="29">
        <v>180</v>
      </c>
      <c r="F16" s="29">
        <v>189</v>
      </c>
      <c r="H16" s="3" t="s">
        <v>47</v>
      </c>
      <c r="I16" s="99" t="s">
        <v>93</v>
      </c>
      <c r="J16" s="100"/>
      <c r="K16" s="100"/>
      <c r="L16" s="101"/>
      <c r="M16" s="30">
        <v>0.15</v>
      </c>
      <c r="T16" s="2">
        <f t="shared" si="4"/>
        <v>0</v>
      </c>
      <c r="U16" s="2">
        <f t="shared" si="5"/>
        <v>0</v>
      </c>
      <c r="V16" s="2">
        <f t="shared" si="6"/>
        <v>0</v>
      </c>
    </row>
    <row r="17" spans="1:23">
      <c r="A17" s="4" t="s">
        <v>49</v>
      </c>
      <c r="B17" s="99" t="s">
        <v>94</v>
      </c>
      <c r="C17" s="100"/>
      <c r="D17" s="100"/>
      <c r="E17" s="29">
        <v>123</v>
      </c>
      <c r="F17" s="29">
        <v>209</v>
      </c>
      <c r="H17" s="3" t="s">
        <v>51</v>
      </c>
      <c r="I17" s="99" t="s">
        <v>95</v>
      </c>
      <c r="J17" s="100"/>
      <c r="K17" s="100"/>
      <c r="L17" s="101"/>
      <c r="M17" s="30">
        <v>0.2</v>
      </c>
      <c r="T17" s="2">
        <f t="shared" si="4"/>
        <v>0</v>
      </c>
      <c r="U17" s="2">
        <f t="shared" si="5"/>
        <v>0</v>
      </c>
      <c r="V17" s="2">
        <f t="shared" si="6"/>
        <v>0</v>
      </c>
    </row>
    <row r="18" spans="1:23">
      <c r="A18" s="4" t="s">
        <v>53</v>
      </c>
      <c r="B18" s="99" t="s">
        <v>96</v>
      </c>
      <c r="C18" s="100"/>
      <c r="D18" s="100"/>
      <c r="E18" s="29">
        <v>85</v>
      </c>
      <c r="F18" s="29">
        <v>215</v>
      </c>
      <c r="H18" s="3" t="s">
        <v>55</v>
      </c>
      <c r="I18" s="99" t="s">
        <v>97</v>
      </c>
      <c r="J18" s="100"/>
      <c r="K18" s="100"/>
      <c r="L18" s="101"/>
      <c r="M18" s="30">
        <v>0.1</v>
      </c>
      <c r="T18" s="2">
        <f t="shared" si="4"/>
        <v>0</v>
      </c>
      <c r="U18" s="2">
        <f t="shared" si="5"/>
        <v>0</v>
      </c>
      <c r="V18" s="2">
        <f t="shared" si="6"/>
        <v>0</v>
      </c>
    </row>
    <row r="19" spans="1:23">
      <c r="A19" s="4" t="s">
        <v>57</v>
      </c>
      <c r="B19" s="99" t="s">
        <v>98</v>
      </c>
      <c r="C19" s="100"/>
      <c r="D19" s="100"/>
      <c r="E19" s="29">
        <v>236</v>
      </c>
      <c r="F19" s="29">
        <v>145</v>
      </c>
      <c r="H19" s="3" t="s">
        <v>59</v>
      </c>
      <c r="I19" s="99" t="s">
        <v>99</v>
      </c>
      <c r="J19" s="100"/>
      <c r="K19" s="100"/>
      <c r="L19" s="101"/>
      <c r="M19" s="30">
        <v>0.05</v>
      </c>
      <c r="T19" s="2">
        <f t="shared" si="4"/>
        <v>0</v>
      </c>
      <c r="U19" s="2">
        <f t="shared" si="5"/>
        <v>0</v>
      </c>
      <c r="V19" s="2">
        <f t="shared" si="6"/>
        <v>0</v>
      </c>
    </row>
    <row r="20" spans="1:23">
      <c r="A20" s="4" t="s">
        <v>61</v>
      </c>
      <c r="B20" s="99" t="s">
        <v>100</v>
      </c>
      <c r="C20" s="100"/>
      <c r="D20" s="100"/>
      <c r="E20" s="29">
        <v>312</v>
      </c>
      <c r="F20" s="29">
        <v>139</v>
      </c>
      <c r="H20" s="3" t="s">
        <v>62</v>
      </c>
      <c r="I20" s="99" t="s">
        <v>101</v>
      </c>
      <c r="J20" s="100"/>
      <c r="K20" s="100"/>
      <c r="L20" s="101"/>
      <c r="M20" s="30">
        <v>0.1</v>
      </c>
      <c r="T20" s="2">
        <f t="shared" si="4"/>
        <v>0</v>
      </c>
      <c r="U20" s="2">
        <f t="shared" si="5"/>
        <v>0</v>
      </c>
      <c r="V20" s="2">
        <f t="shared" si="6"/>
        <v>0</v>
      </c>
    </row>
    <row r="21" spans="1:23">
      <c r="I21" s="102" t="s">
        <v>64</v>
      </c>
      <c r="J21" s="102"/>
      <c r="K21" s="102"/>
      <c r="L21" s="102"/>
      <c r="M21" s="18">
        <f>SUM(E36:K36)</f>
        <v>1</v>
      </c>
    </row>
    <row r="22" spans="1:23">
      <c r="F22" s="15" t="str">
        <f>IF(SUM(T14:T20)&gt;0,"Fill in rates for competitors in red","")</f>
        <v/>
      </c>
      <c r="M22" s="15" t="str">
        <f>IF(SUM(E36:K36)=1,"","Total must equal 100%")</f>
        <v/>
      </c>
    </row>
    <row r="23" spans="1:23">
      <c r="M23" s="15" t="str">
        <f>IF(SUM(U14:U20)&gt;0,"Delete values in red","")</f>
        <v/>
      </c>
    </row>
    <row r="24" spans="1:23">
      <c r="M24" s="15" t="str">
        <f>IF(SUM(V14:V20)&gt;0,"Add weights for attributes in red","")</f>
        <v/>
      </c>
    </row>
    <row r="26" spans="1:23" ht="24">
      <c r="A26" s="92" t="s">
        <v>65</v>
      </c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T26" s="1" t="s">
        <v>66</v>
      </c>
      <c r="U26" s="1" t="s">
        <v>67</v>
      </c>
    </row>
    <row r="27" spans="1:23" ht="18.95">
      <c r="T27" s="32" t="s">
        <v>68</v>
      </c>
      <c r="U27" s="32" t="s">
        <v>69</v>
      </c>
      <c r="V27" s="32" t="s">
        <v>70</v>
      </c>
      <c r="W27" s="32" t="s">
        <v>71</v>
      </c>
    </row>
    <row r="28" spans="1:23">
      <c r="A28" s="59" t="s">
        <v>72</v>
      </c>
      <c r="B28" s="103" t="str">
        <f>IF(B5="","",B5)</f>
        <v>Hotel Grand</v>
      </c>
      <c r="C28" s="104"/>
      <c r="D28" s="105"/>
      <c r="T28" s="33">
        <v>0</v>
      </c>
      <c r="U28" s="33">
        <v>0</v>
      </c>
      <c r="V28" s="2" t="str">
        <f t="shared" ref="V28:V34" si="7">CONCATENATE(T28,U28,)</f>
        <v>00</v>
      </c>
      <c r="W28" s="34"/>
    </row>
    <row r="29" spans="1:23">
      <c r="A29" s="59" t="s">
        <v>21</v>
      </c>
      <c r="B29" s="103" t="str">
        <f>IF(B6="","",B6)</f>
        <v>Social</v>
      </c>
      <c r="C29" s="104"/>
      <c r="D29" s="105"/>
      <c r="T29" s="33">
        <v>0</v>
      </c>
      <c r="U29" s="33">
        <v>0</v>
      </c>
      <c r="V29" s="2" t="str">
        <f t="shared" si="7"/>
        <v>00</v>
      </c>
      <c r="W29" s="34" t="s">
        <v>73</v>
      </c>
    </row>
    <row r="30" spans="1:23">
      <c r="A30" s="59" t="s">
        <v>23</v>
      </c>
      <c r="B30" s="103" t="str">
        <f t="shared" ref="B30:B31" si="8">IF(B7="","",B7)</f>
        <v>Standard</v>
      </c>
      <c r="C30" s="104"/>
      <c r="D30" s="105"/>
      <c r="I30" s="6"/>
      <c r="T30" s="33">
        <v>0</v>
      </c>
      <c r="U30" s="33">
        <v>1</v>
      </c>
      <c r="V30" s="2" t="str">
        <f t="shared" si="7"/>
        <v>01</v>
      </c>
      <c r="W30" s="34" t="s">
        <v>74</v>
      </c>
    </row>
    <row r="31" spans="1:23">
      <c r="A31" s="59" t="s">
        <v>75</v>
      </c>
      <c r="B31" s="103">
        <f t="shared" si="8"/>
        <v>150</v>
      </c>
      <c r="C31" s="104"/>
      <c r="D31" s="105"/>
      <c r="T31" s="33">
        <v>0</v>
      </c>
      <c r="U31" s="33">
        <v>1</v>
      </c>
      <c r="V31" s="2" t="str">
        <f t="shared" si="7"/>
        <v>01</v>
      </c>
      <c r="W31" s="34" t="s">
        <v>74</v>
      </c>
    </row>
    <row r="32" spans="1:23">
      <c r="T32" s="33">
        <v>1</v>
      </c>
      <c r="U32" s="33">
        <v>0</v>
      </c>
      <c r="V32" s="2" t="str">
        <f t="shared" si="7"/>
        <v>10</v>
      </c>
      <c r="W32" s="34"/>
    </row>
    <row r="33" spans="1:33">
      <c r="T33" s="33">
        <v>1</v>
      </c>
      <c r="U33" s="33">
        <v>0</v>
      </c>
      <c r="V33" s="2" t="str">
        <f t="shared" si="7"/>
        <v>10</v>
      </c>
      <c r="W33" s="34" t="s">
        <v>73</v>
      </c>
    </row>
    <row r="34" spans="1:33">
      <c r="E34" s="96" t="s">
        <v>17</v>
      </c>
      <c r="F34" s="97"/>
      <c r="G34" s="97"/>
      <c r="H34" s="97"/>
      <c r="I34" s="97"/>
      <c r="J34" s="97"/>
      <c r="K34" s="98"/>
      <c r="N34" s="91" t="s">
        <v>26</v>
      </c>
      <c r="O34" s="91"/>
      <c r="T34" s="33">
        <v>1</v>
      </c>
      <c r="U34" s="33">
        <v>1</v>
      </c>
      <c r="V34" s="2" t="str">
        <f t="shared" si="7"/>
        <v>11</v>
      </c>
      <c r="W34" s="34"/>
    </row>
    <row r="35" spans="1:33" ht="32.450000000000003" customHeight="1">
      <c r="A35" s="93" t="s">
        <v>76</v>
      </c>
      <c r="B35" s="93"/>
      <c r="C35" s="94" t="s">
        <v>30</v>
      </c>
      <c r="D35" s="94" t="s">
        <v>31</v>
      </c>
      <c r="E35" s="78" t="str">
        <f>IF(I14="","",I14)</f>
        <v>Guest rooms</v>
      </c>
      <c r="F35" s="78" t="str">
        <f>IF(I15="","",I15)</f>
        <v>Location</v>
      </c>
      <c r="G35" s="78" t="str">
        <f>IF(I16="","",I16)</f>
        <v>Pool</v>
      </c>
      <c r="H35" s="78" t="str">
        <f>IF(I17="","",I17)</f>
        <v>Restaurant</v>
      </c>
      <c r="I35" s="78" t="str">
        <f>IF(I18="","",I18)</f>
        <v>Service</v>
      </c>
      <c r="J35" s="78" t="str">
        <f>IF(I19="","",I19)</f>
        <v>Lobby</v>
      </c>
      <c r="K35" s="78" t="str">
        <f>IF(I20="","",I20)</f>
        <v>Fitness Center</v>
      </c>
      <c r="L35" s="95" t="s">
        <v>77</v>
      </c>
      <c r="T35" s="5">
        <v>1</v>
      </c>
      <c r="U35" s="5">
        <v>1</v>
      </c>
      <c r="V35" s="5"/>
      <c r="W35" s="1" t="str">
        <f>CONCATENATE(T35,U35,V35,)</f>
        <v>11</v>
      </c>
      <c r="X35" s="16"/>
    </row>
    <row r="36" spans="1:33" ht="20.25" customHeight="1">
      <c r="A36" s="93"/>
      <c r="B36" s="93"/>
      <c r="C36" s="94"/>
      <c r="D36" s="94"/>
      <c r="E36" s="8">
        <f>IF(E35="","",M14)</f>
        <v>0.2</v>
      </c>
      <c r="F36" s="8">
        <f>IF(F35="","",M15)</f>
        <v>0.2</v>
      </c>
      <c r="G36" s="8">
        <f>IF(G35="","",M16)</f>
        <v>0.15</v>
      </c>
      <c r="H36" s="8">
        <f>IF(H35="","",M17)</f>
        <v>0.2</v>
      </c>
      <c r="I36" s="8">
        <f>IF(I35="","",M18)</f>
        <v>0.1</v>
      </c>
      <c r="J36" s="8">
        <f>IF(J35="","",M19)</f>
        <v>0.05</v>
      </c>
      <c r="K36" s="8">
        <f>IF(K35="","",M20)</f>
        <v>0.1</v>
      </c>
      <c r="L36" s="95"/>
      <c r="M36" s="9"/>
      <c r="S36" s="1">
        <f>COUNTBLANK(E35:K35)</f>
        <v>0</v>
      </c>
      <c r="T36" s="32" t="s">
        <v>68</v>
      </c>
      <c r="U36" s="32" t="s">
        <v>69</v>
      </c>
      <c r="V36" s="32"/>
      <c r="W36" s="32" t="s">
        <v>78</v>
      </c>
    </row>
    <row r="37" spans="1:33">
      <c r="A37" s="90" t="str">
        <f>IF(B14="","",B14)</f>
        <v>City View</v>
      </c>
      <c r="B37" s="90"/>
      <c r="C37" s="22">
        <f>IF(E14="","",E14)</f>
        <v>212</v>
      </c>
      <c r="D37" s="22">
        <f t="shared" ref="D37:D43" si="9">+F14</f>
        <v>157</v>
      </c>
      <c r="E37" s="31">
        <v>2</v>
      </c>
      <c r="F37" s="31">
        <v>2</v>
      </c>
      <c r="G37" s="31">
        <v>2</v>
      </c>
      <c r="H37" s="31">
        <v>0</v>
      </c>
      <c r="I37" s="31">
        <v>2</v>
      </c>
      <c r="J37" s="31">
        <v>2</v>
      </c>
      <c r="K37" s="31">
        <v>2</v>
      </c>
      <c r="L37" s="23">
        <f t="shared" ref="L37:L42" si="10">IF(A37="",0,SUMPRODUCT($E$36:$K$36,E37:K37))</f>
        <v>1.6</v>
      </c>
      <c r="M37" s="17">
        <f t="shared" ref="M37:M43" si="11">VLOOKUP(W37,$V$28:$W$35,2,0)</f>
        <v>0</v>
      </c>
      <c r="T37" s="2">
        <f>IF(A37="",1,0)</f>
        <v>0</v>
      </c>
      <c r="U37" s="2">
        <f t="shared" ref="U37:U43" si="12">IF(COUNT(E37:K37)&lt;7-$S$36,1,0)</f>
        <v>0</v>
      </c>
      <c r="V37" s="2"/>
      <c r="W37" s="2" t="str">
        <f t="shared" ref="W37:W43" si="13">CONCATENATE(T37,U37,V37,)</f>
        <v>00</v>
      </c>
    </row>
    <row r="38" spans="1:33">
      <c r="A38" s="90" t="str">
        <f t="shared" ref="A38:A43" si="14">IF(B15="","",B15)</f>
        <v>Country Inn</v>
      </c>
      <c r="B38" s="90"/>
      <c r="C38" s="22">
        <f t="shared" ref="C38:C43" si="15">IF(E15="","",E15)</f>
        <v>301</v>
      </c>
      <c r="D38" s="22">
        <f t="shared" si="9"/>
        <v>165</v>
      </c>
      <c r="E38" s="31">
        <v>1</v>
      </c>
      <c r="F38" s="31">
        <v>2</v>
      </c>
      <c r="G38" s="31">
        <v>2</v>
      </c>
      <c r="H38" s="31">
        <v>0</v>
      </c>
      <c r="I38" s="31">
        <v>1</v>
      </c>
      <c r="J38" s="31">
        <v>-1</v>
      </c>
      <c r="K38" s="31">
        <v>1</v>
      </c>
      <c r="L38" s="23">
        <f t="shared" si="10"/>
        <v>1.0500000000000003</v>
      </c>
      <c r="M38" s="17">
        <f t="shared" si="11"/>
        <v>0</v>
      </c>
      <c r="T38" s="2">
        <f t="shared" ref="T38:T43" si="16">IF(A38="",1,0)</f>
        <v>0</v>
      </c>
      <c r="U38" s="2">
        <f t="shared" si="12"/>
        <v>0</v>
      </c>
      <c r="V38" s="2"/>
      <c r="W38" s="2" t="str">
        <f t="shared" si="13"/>
        <v>00</v>
      </c>
    </row>
    <row r="39" spans="1:33">
      <c r="A39" s="90" t="str">
        <f t="shared" si="14"/>
        <v>Lakefront Lodge</v>
      </c>
      <c r="B39" s="90"/>
      <c r="C39" s="22">
        <f t="shared" si="15"/>
        <v>180</v>
      </c>
      <c r="D39" s="22">
        <f t="shared" si="9"/>
        <v>189</v>
      </c>
      <c r="E39" s="31">
        <v>1</v>
      </c>
      <c r="F39" s="31">
        <v>-2</v>
      </c>
      <c r="G39" s="31">
        <v>-1</v>
      </c>
      <c r="H39" s="31">
        <v>0</v>
      </c>
      <c r="I39" s="31">
        <v>-3</v>
      </c>
      <c r="J39" s="31">
        <v>1</v>
      </c>
      <c r="K39" s="31">
        <v>2</v>
      </c>
      <c r="L39" s="23">
        <f t="shared" si="10"/>
        <v>-0.39999999999999997</v>
      </c>
      <c r="M39" s="17">
        <f t="shared" si="11"/>
        <v>0</v>
      </c>
      <c r="T39" s="2">
        <f t="shared" si="16"/>
        <v>0</v>
      </c>
      <c r="U39" s="2">
        <f t="shared" si="12"/>
        <v>0</v>
      </c>
      <c r="V39" s="2"/>
      <c r="W39" s="2" t="str">
        <f t="shared" si="13"/>
        <v>00</v>
      </c>
    </row>
    <row r="40" spans="1:33">
      <c r="A40" s="90" t="str">
        <f t="shared" si="14"/>
        <v>Hotel Downtown</v>
      </c>
      <c r="B40" s="90"/>
      <c r="C40" s="22">
        <f t="shared" si="15"/>
        <v>123</v>
      </c>
      <c r="D40" s="22">
        <f t="shared" si="9"/>
        <v>209</v>
      </c>
      <c r="E40" s="31">
        <v>0.5</v>
      </c>
      <c r="F40" s="31">
        <v>0.5</v>
      </c>
      <c r="G40" s="31">
        <v>1</v>
      </c>
      <c r="H40" s="31">
        <v>0</v>
      </c>
      <c r="I40" s="31">
        <v>0</v>
      </c>
      <c r="J40" s="31">
        <v>0.5</v>
      </c>
      <c r="K40" s="31">
        <v>1</v>
      </c>
      <c r="L40" s="23">
        <f t="shared" si="10"/>
        <v>0.47499999999999998</v>
      </c>
      <c r="M40" s="17">
        <f t="shared" si="11"/>
        <v>0</v>
      </c>
      <c r="T40" s="2">
        <f t="shared" si="16"/>
        <v>0</v>
      </c>
      <c r="U40" s="2">
        <f t="shared" si="12"/>
        <v>0</v>
      </c>
      <c r="V40" s="2"/>
      <c r="W40" s="2" t="str">
        <f t="shared" si="13"/>
        <v>00</v>
      </c>
      <c r="AG40" s="1">
        <v>0</v>
      </c>
    </row>
    <row r="41" spans="1:33">
      <c r="A41" s="90" t="str">
        <f t="shared" si="14"/>
        <v>Seaside Cottage</v>
      </c>
      <c r="B41" s="90"/>
      <c r="C41" s="22">
        <f t="shared" si="15"/>
        <v>85</v>
      </c>
      <c r="D41" s="22">
        <f t="shared" si="9"/>
        <v>215</v>
      </c>
      <c r="E41" s="31">
        <v>-1</v>
      </c>
      <c r="F41" s="31">
        <v>-2</v>
      </c>
      <c r="G41" s="31">
        <v>-3</v>
      </c>
      <c r="H41" s="31">
        <v>-1</v>
      </c>
      <c r="I41" s="31">
        <v>-2</v>
      </c>
      <c r="J41" s="31">
        <v>-2</v>
      </c>
      <c r="K41" s="31">
        <v>-1</v>
      </c>
      <c r="L41" s="23">
        <f t="shared" si="10"/>
        <v>-1.6500000000000001</v>
      </c>
      <c r="M41" s="17">
        <f t="shared" si="11"/>
        <v>0</v>
      </c>
      <c r="T41" s="2">
        <f t="shared" si="16"/>
        <v>0</v>
      </c>
      <c r="U41" s="2">
        <f t="shared" si="12"/>
        <v>0</v>
      </c>
      <c r="V41" s="2"/>
      <c r="W41" s="2" t="str">
        <f t="shared" si="13"/>
        <v>00</v>
      </c>
    </row>
    <row r="42" spans="1:33">
      <c r="A42" s="90" t="str">
        <f t="shared" si="14"/>
        <v>Family Hotel</v>
      </c>
      <c r="B42" s="90"/>
      <c r="C42" s="22">
        <f t="shared" si="15"/>
        <v>236</v>
      </c>
      <c r="D42" s="22">
        <f t="shared" si="9"/>
        <v>145</v>
      </c>
      <c r="E42" s="31">
        <v>-2</v>
      </c>
      <c r="F42" s="31">
        <v>-2</v>
      </c>
      <c r="G42" s="31">
        <v>2</v>
      </c>
      <c r="H42" s="31">
        <v>0</v>
      </c>
      <c r="I42" s="31">
        <v>2</v>
      </c>
      <c r="J42" s="31">
        <v>-3</v>
      </c>
      <c r="K42" s="31">
        <v>-2</v>
      </c>
      <c r="L42" s="23">
        <f t="shared" si="10"/>
        <v>-0.65</v>
      </c>
      <c r="M42" s="17">
        <f t="shared" si="11"/>
        <v>0</v>
      </c>
      <c r="T42" s="2">
        <f t="shared" si="16"/>
        <v>0</v>
      </c>
      <c r="U42" s="2">
        <f t="shared" si="12"/>
        <v>0</v>
      </c>
      <c r="V42" s="2"/>
      <c r="W42" s="2" t="str">
        <f t="shared" si="13"/>
        <v>00</v>
      </c>
    </row>
    <row r="43" spans="1:33">
      <c r="A43" s="90" t="str">
        <f t="shared" si="14"/>
        <v>Royal Tower</v>
      </c>
      <c r="B43" s="90"/>
      <c r="C43" s="22">
        <f t="shared" si="15"/>
        <v>312</v>
      </c>
      <c r="D43" s="22">
        <f t="shared" si="9"/>
        <v>139</v>
      </c>
      <c r="E43" s="31">
        <v>1</v>
      </c>
      <c r="F43" s="31">
        <v>-2</v>
      </c>
      <c r="G43" s="31">
        <v>-2</v>
      </c>
      <c r="H43" s="31">
        <v>3</v>
      </c>
      <c r="I43" s="31">
        <v>2</v>
      </c>
      <c r="J43" s="31">
        <v>-2</v>
      </c>
      <c r="K43" s="31">
        <v>-1</v>
      </c>
      <c r="L43" s="23">
        <f>IF(A43="",0,SUMPRODUCT($E$36:$K$36,E43:K43))</f>
        <v>0.10000000000000009</v>
      </c>
      <c r="M43" s="17">
        <f t="shared" si="11"/>
        <v>0</v>
      </c>
      <c r="T43" s="2">
        <f t="shared" si="16"/>
        <v>0</v>
      </c>
      <c r="U43" s="2">
        <f t="shared" si="12"/>
        <v>0</v>
      </c>
      <c r="V43" s="2"/>
      <c r="W43" s="2" t="str">
        <f t="shared" si="13"/>
        <v>00</v>
      </c>
    </row>
    <row r="45" spans="1:33" ht="24">
      <c r="A45" s="92" t="s">
        <v>79</v>
      </c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</row>
    <row r="53" spans="14:15">
      <c r="N53" s="91" t="s">
        <v>26</v>
      </c>
      <c r="O53" s="91"/>
    </row>
    <row r="76" spans="1:3" s="35" customFormat="1"/>
    <row r="77" spans="1:3" s="35" customFormat="1"/>
    <row r="78" spans="1:3" s="35" customFormat="1">
      <c r="B78" s="35" t="s">
        <v>80</v>
      </c>
      <c r="C78" s="35" t="s">
        <v>81</v>
      </c>
    </row>
    <row r="79" spans="1:3" s="35" customFormat="1">
      <c r="A79" s="35" t="str">
        <f>+B5</f>
        <v>Hotel Grand</v>
      </c>
      <c r="B79" s="35">
        <f>AG40</f>
        <v>0</v>
      </c>
      <c r="C79" s="35">
        <f>My_Rate-My_Rate</f>
        <v>0</v>
      </c>
    </row>
    <row r="80" spans="1:3" s="35" customFormat="1">
      <c r="A80" s="35" t="str">
        <f t="shared" ref="A80:A86" si="17">+A37</f>
        <v>City View</v>
      </c>
      <c r="B80" s="35">
        <f t="shared" ref="B80:B86" si="18">+L37</f>
        <v>1.6</v>
      </c>
      <c r="C80" s="35">
        <f t="shared" ref="C80:C86" si="19">IF(F14="",0,F14-My_Rate)</f>
        <v>7</v>
      </c>
    </row>
    <row r="81" spans="1:3" s="35" customFormat="1">
      <c r="A81" s="35" t="str">
        <f t="shared" si="17"/>
        <v>Country Inn</v>
      </c>
      <c r="B81" s="35">
        <f t="shared" si="18"/>
        <v>1.0500000000000003</v>
      </c>
      <c r="C81" s="35">
        <f t="shared" si="19"/>
        <v>15</v>
      </c>
    </row>
    <row r="82" spans="1:3" s="35" customFormat="1">
      <c r="A82" s="35" t="str">
        <f t="shared" si="17"/>
        <v>Lakefront Lodge</v>
      </c>
      <c r="B82" s="35">
        <f t="shared" si="18"/>
        <v>-0.39999999999999997</v>
      </c>
      <c r="C82" s="35">
        <f t="shared" si="19"/>
        <v>39</v>
      </c>
    </row>
    <row r="83" spans="1:3" s="35" customFormat="1">
      <c r="A83" s="35" t="str">
        <f t="shared" si="17"/>
        <v>Hotel Downtown</v>
      </c>
      <c r="B83" s="35">
        <f t="shared" si="18"/>
        <v>0.47499999999999998</v>
      </c>
      <c r="C83" s="35">
        <f t="shared" si="19"/>
        <v>59</v>
      </c>
    </row>
    <row r="84" spans="1:3" s="35" customFormat="1">
      <c r="A84" s="35" t="str">
        <f t="shared" si="17"/>
        <v>Seaside Cottage</v>
      </c>
      <c r="B84" s="35">
        <f t="shared" si="18"/>
        <v>-1.6500000000000001</v>
      </c>
      <c r="C84" s="35">
        <f t="shared" si="19"/>
        <v>65</v>
      </c>
    </row>
    <row r="85" spans="1:3" s="35" customFormat="1">
      <c r="A85" s="35" t="str">
        <f t="shared" si="17"/>
        <v>Family Hotel</v>
      </c>
      <c r="B85" s="35">
        <f t="shared" si="18"/>
        <v>-0.65</v>
      </c>
      <c r="C85" s="35">
        <f t="shared" si="19"/>
        <v>-5</v>
      </c>
    </row>
    <row r="86" spans="1:3" s="35" customFormat="1">
      <c r="A86" s="35" t="str">
        <f t="shared" si="17"/>
        <v>Royal Tower</v>
      </c>
      <c r="B86" s="35">
        <f t="shared" si="18"/>
        <v>0.10000000000000009</v>
      </c>
      <c r="C86" s="35">
        <f t="shared" si="19"/>
        <v>-11</v>
      </c>
    </row>
    <row r="87" spans="1:3" s="35" customFormat="1">
      <c r="A87" s="35" t="s">
        <v>82</v>
      </c>
      <c r="C87" s="35">
        <f>+C94</f>
        <v>65</v>
      </c>
    </row>
    <row r="88" spans="1:3" s="35" customFormat="1">
      <c r="A88" s="35" t="s">
        <v>83</v>
      </c>
      <c r="C88" s="35">
        <f>-C94</f>
        <v>-65</v>
      </c>
    </row>
    <row r="89" spans="1:3" s="35" customFormat="1"/>
    <row r="90" spans="1:3" s="35" customFormat="1"/>
    <row r="91" spans="1:3" s="35" customFormat="1"/>
    <row r="92" spans="1:3" s="35" customFormat="1">
      <c r="A92" s="35" t="s">
        <v>82</v>
      </c>
      <c r="C92" s="35">
        <f>MIN(C80:C86)</f>
        <v>-11</v>
      </c>
    </row>
    <row r="93" spans="1:3" s="35" customFormat="1">
      <c r="A93" s="35" t="s">
        <v>83</v>
      </c>
      <c r="C93" s="35">
        <f>MAX(C80:C86)</f>
        <v>65</v>
      </c>
    </row>
    <row r="94" spans="1:3" s="35" customFormat="1">
      <c r="A94" s="35" t="s">
        <v>84</v>
      </c>
      <c r="C94" s="35" cm="1">
        <f t="array" ref="C94">MAX(ABS(C92:C93))</f>
        <v>65</v>
      </c>
    </row>
    <row r="95" spans="1:3" s="35" customFormat="1"/>
    <row r="96" spans="1:3" s="35" customFormat="1"/>
    <row r="97" s="35" customFormat="1"/>
    <row r="98" s="36" customFormat="1"/>
    <row r="99" s="36" customFormat="1"/>
    <row r="100" s="36" customFormat="1"/>
    <row r="101" s="36" customFormat="1"/>
    <row r="102" s="36" customFormat="1"/>
  </sheetData>
  <sheetProtection algorithmName="SHA-512" hashValue="uzEuMmWyh/Aa7qfsLoLMJzZuDmYo7i6rpFm/ViPct/2ycrPMEDi9yhK8bXTGaZTPazh5YtP9G4MlLbsdOxickg==" saltValue="npesxqJp9+mSMMft7yJzWw==" spinCount="100000" sheet="1" objects="1" scenarios="1"/>
  <mergeCells count="44">
    <mergeCell ref="A1:O1"/>
    <mergeCell ref="A3:D3"/>
    <mergeCell ref="B5:D5"/>
    <mergeCell ref="B6:D6"/>
    <mergeCell ref="A11:F11"/>
    <mergeCell ref="H11:M11"/>
    <mergeCell ref="N9:O9"/>
    <mergeCell ref="B18:D18"/>
    <mergeCell ref="I18:L18"/>
    <mergeCell ref="B13:D13"/>
    <mergeCell ref="I13:L13"/>
    <mergeCell ref="B14:D14"/>
    <mergeCell ref="I14:L14"/>
    <mergeCell ref="B15:D15"/>
    <mergeCell ref="I15:L15"/>
    <mergeCell ref="B16:D16"/>
    <mergeCell ref="I16:L16"/>
    <mergeCell ref="B17:D17"/>
    <mergeCell ref="I17:L17"/>
    <mergeCell ref="B19:D19"/>
    <mergeCell ref="I19:L19"/>
    <mergeCell ref="B20:D20"/>
    <mergeCell ref="I20:L20"/>
    <mergeCell ref="I21:L21"/>
    <mergeCell ref="A37:B37"/>
    <mergeCell ref="A38:B38"/>
    <mergeCell ref="A26:O26"/>
    <mergeCell ref="B28:D28"/>
    <mergeCell ref="B29:D29"/>
    <mergeCell ref="B30:D30"/>
    <mergeCell ref="B31:D31"/>
    <mergeCell ref="E34:K34"/>
    <mergeCell ref="N34:O34"/>
    <mergeCell ref="A35:B36"/>
    <mergeCell ref="C35:C36"/>
    <mergeCell ref="D35:D36"/>
    <mergeCell ref="L35:L36"/>
    <mergeCell ref="A45:O45"/>
    <mergeCell ref="N53:O53"/>
    <mergeCell ref="A39:B39"/>
    <mergeCell ref="A40:B40"/>
    <mergeCell ref="A41:B41"/>
    <mergeCell ref="A42:B42"/>
    <mergeCell ref="A43:B43"/>
  </mergeCells>
  <phoneticPr fontId="41"/>
  <conditionalFormatting sqref="E36">
    <cfRule type="expression" dxfId="30" priority="28">
      <formula>E$35=""</formula>
    </cfRule>
  </conditionalFormatting>
  <conditionalFormatting sqref="A43:B43 L37:L43 D43">
    <cfRule type="expression" dxfId="29" priority="27">
      <formula>$A37=""</formula>
    </cfRule>
  </conditionalFormatting>
  <conditionalFormatting sqref="E35 F35:K36">
    <cfRule type="expression" dxfId="28" priority="26">
      <formula>E$35=""</formula>
    </cfRule>
  </conditionalFormatting>
  <conditionalFormatting sqref="E37">
    <cfRule type="expression" dxfId="27" priority="25">
      <formula>E$35=""</formula>
    </cfRule>
  </conditionalFormatting>
  <conditionalFormatting sqref="A37:E37 A38:B42 D38:D42 C38:C43">
    <cfRule type="expression" dxfId="26" priority="24">
      <formula>$A37=""</formula>
    </cfRule>
  </conditionalFormatting>
  <conditionalFormatting sqref="E37">
    <cfRule type="expression" dxfId="25" priority="23">
      <formula>OR(E$35="",$A37="")</formula>
    </cfRule>
  </conditionalFormatting>
  <conditionalFormatting sqref="E38:K43">
    <cfRule type="expression" dxfId="24" priority="22">
      <formula>E$35=""</formula>
    </cfRule>
  </conditionalFormatting>
  <conditionalFormatting sqref="E38:K43">
    <cfRule type="expression" dxfId="23" priority="21">
      <formula>$A38=""</formula>
    </cfRule>
  </conditionalFormatting>
  <conditionalFormatting sqref="E38:K43">
    <cfRule type="expression" dxfId="22" priority="20">
      <formula>OR(E$35="",$A38="")</formula>
    </cfRule>
  </conditionalFormatting>
  <conditionalFormatting sqref="F37:K37">
    <cfRule type="expression" dxfId="21" priority="19">
      <formula>F$35=""</formula>
    </cfRule>
  </conditionalFormatting>
  <conditionalFormatting sqref="F37:K37">
    <cfRule type="expression" dxfId="20" priority="18">
      <formula>$A37=""</formula>
    </cfRule>
  </conditionalFormatting>
  <conditionalFormatting sqref="F37:K37">
    <cfRule type="expression" dxfId="19" priority="17">
      <formula>OR(F$35="",$A37="")</formula>
    </cfRule>
  </conditionalFormatting>
  <conditionalFormatting sqref="W31:W32">
    <cfRule type="expression" dxfId="18" priority="15">
      <formula>$A$37:$B$43=""</formula>
    </cfRule>
    <cfRule type="cellIs" dxfId="17" priority="16" operator="equal">
      <formula>"OK"</formula>
    </cfRule>
  </conditionalFormatting>
  <conditionalFormatting sqref="W33:W34">
    <cfRule type="expression" dxfId="16" priority="13">
      <formula>$A$37:$B$43=""</formula>
    </cfRule>
    <cfRule type="cellIs" dxfId="15" priority="14" operator="equal">
      <formula>"OK"</formula>
    </cfRule>
  </conditionalFormatting>
  <conditionalFormatting sqref="W28">
    <cfRule type="expression" dxfId="14" priority="11">
      <formula>$A$37:$B$43=""</formula>
    </cfRule>
    <cfRule type="cellIs" dxfId="13" priority="12" operator="equal">
      <formula>"OK"</formula>
    </cfRule>
  </conditionalFormatting>
  <conditionalFormatting sqref="W29">
    <cfRule type="expression" dxfId="12" priority="9">
      <formula>$A$37:$B$43=""</formula>
    </cfRule>
    <cfRule type="cellIs" dxfId="11" priority="10" operator="equal">
      <formula>"OK"</formula>
    </cfRule>
  </conditionalFormatting>
  <conditionalFormatting sqref="M37:M43">
    <cfRule type="cellIs" dxfId="10" priority="3" operator="equal">
      <formula>"OK"</formula>
    </cfRule>
    <cfRule type="cellIs" dxfId="9" priority="8" operator="equal">
      <formula>0</formula>
    </cfRule>
  </conditionalFormatting>
  <conditionalFormatting sqref="X35">
    <cfRule type="expression" dxfId="8" priority="6">
      <formula>$A$37:$B$43=""</formula>
    </cfRule>
    <cfRule type="cellIs" dxfId="7" priority="7" operator="equal">
      <formula>"OK"</formula>
    </cfRule>
  </conditionalFormatting>
  <conditionalFormatting sqref="W30">
    <cfRule type="expression" dxfId="6" priority="4">
      <formula>$A$37:$B$43=""</formula>
    </cfRule>
    <cfRule type="cellIs" dxfId="5" priority="5" operator="equal">
      <formula>"OK"</formula>
    </cfRule>
  </conditionalFormatting>
  <conditionalFormatting sqref="M21">
    <cfRule type="cellIs" dxfId="4" priority="2" operator="equal">
      <formula>1</formula>
    </cfRule>
  </conditionalFormatting>
  <conditionalFormatting sqref="M23">
    <cfRule type="expression" dxfId="3" priority="1">
      <formula>$M$21=0</formula>
    </cfRule>
  </conditionalFormatting>
  <conditionalFormatting sqref="M14:M20">
    <cfRule type="expression" dxfId="2" priority="29">
      <formula>U14=1</formula>
    </cfRule>
  </conditionalFormatting>
  <conditionalFormatting sqref="I14:I20">
    <cfRule type="expression" dxfId="1" priority="30">
      <formula>V14=1</formula>
    </cfRule>
  </conditionalFormatting>
  <conditionalFormatting sqref="B14:B20">
    <cfRule type="expression" dxfId="0" priority="31">
      <formula>T14=1</formula>
    </cfRule>
  </conditionalFormatting>
  <dataValidations count="1">
    <dataValidation type="decimal" allowBlank="1" showInputMessage="1" showErrorMessage="1" errorTitle="Error" error="Value must range from -3 to 3." promptTitle="Enter Relative Ranking" sqref="E37:K43 U5:AA11" xr:uid="{845DCD9C-CBFB-4785-B4C8-D690E15365DB}">
      <formula1>-3</formula1>
      <formula2>3</formula2>
    </dataValidation>
  </dataValidations>
  <hyperlinks>
    <hyperlink ref="N9" location="Instructions!A1" display="Return to Instructions" xr:uid="{0448838F-FD00-4B9B-BB31-1601D4324C79}"/>
    <hyperlink ref="N34" location="Instructions!A1" display="Return to Instructions" xr:uid="{020B25C1-6F37-4321-9E05-4364DAE09A1E}"/>
    <hyperlink ref="N53" location="Instructions!A1" display="Return to Instructions" xr:uid="{CD02BA15-0F71-42E1-A9CC-2A9995207FE8}"/>
  </hyperlinks>
  <pageMargins left="0.7" right="0.7" top="0.75" bottom="0.75" header="0.3" footer="0.3"/>
  <pageSetup scale="71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atings">
                <anchor moveWithCells="1" sizeWithCells="1">
                  <from>
                    <xdr:col>13</xdr:col>
                    <xdr:colOff>330200</xdr:colOff>
                    <xdr:row>2</xdr:row>
                    <xdr:rowOff>63500</xdr:rowOff>
                  </from>
                  <to>
                    <xdr:col>14</xdr:col>
                    <xdr:colOff>698500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hart">
                <anchor moveWithCells="1" sizeWithCells="1">
                  <from>
                    <xdr:col>13</xdr:col>
                    <xdr:colOff>330200</xdr:colOff>
                    <xdr:row>5</xdr:row>
                    <xdr:rowOff>25400</xdr:rowOff>
                  </from>
                  <to>
                    <xdr:col>14</xdr:col>
                    <xdr:colOff>698500</xdr:colOff>
                    <xdr:row>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Inputs">
                <anchor moveWithCells="1" sizeWithCells="1">
                  <from>
                    <xdr:col>13</xdr:col>
                    <xdr:colOff>330200</xdr:colOff>
                    <xdr:row>27</xdr:row>
                    <xdr:rowOff>101600</xdr:rowOff>
                  </from>
                  <to>
                    <xdr:col>14</xdr:col>
                    <xdr:colOff>685800</xdr:colOff>
                    <xdr:row>29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Chart">
                <anchor moveWithCells="1" sizeWithCells="1">
                  <from>
                    <xdr:col>13</xdr:col>
                    <xdr:colOff>330200</xdr:colOff>
                    <xdr:row>30</xdr:row>
                    <xdr:rowOff>38100</xdr:rowOff>
                  </from>
                  <to>
                    <xdr:col>14</xdr:col>
                    <xdr:colOff>685800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Inputs">
                <anchor moveWithCells="1" sizeWithCells="1">
                  <from>
                    <xdr:col>13</xdr:col>
                    <xdr:colOff>330200</xdr:colOff>
                    <xdr:row>46</xdr:row>
                    <xdr:rowOff>76200</xdr:rowOff>
                  </from>
                  <to>
                    <xdr:col>14</xdr:col>
                    <xdr:colOff>685800</xdr:colOff>
                    <xdr:row>48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atings">
                <anchor moveWithCells="1" sizeWithCells="1">
                  <from>
                    <xdr:col>13</xdr:col>
                    <xdr:colOff>330200</xdr:colOff>
                    <xdr:row>49</xdr:row>
                    <xdr:rowOff>0</xdr:rowOff>
                  </from>
                  <to>
                    <xdr:col>14</xdr:col>
                    <xdr:colOff>685800</xdr:colOff>
                    <xdr:row>51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0507654c-1543-47e1-81c5-300c2627be14}" enabled="1" method="Standard" siteId="{5a7cc8ab-a4dc-4f9b-bf60-66714049ad6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Lynn Zwibak</dc:creator>
  <cp:keywords/>
  <dc:description/>
  <cp:lastModifiedBy/>
  <cp:revision/>
  <dcterms:created xsi:type="dcterms:W3CDTF">2021-03-15T03:36:21Z</dcterms:created>
  <dcterms:modified xsi:type="dcterms:W3CDTF">2025-09-22T12:41:48Z</dcterms:modified>
  <cp:category/>
  <cp:contentStatus/>
</cp:coreProperties>
</file>